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missas" sheetId="1" r:id="rId5"/>
    <sheet state="visible" name="Projeção" sheetId="2" r:id="rId6"/>
    <sheet state="visible" name="Evolução" sheetId="3" r:id="rId7"/>
    <sheet state="visible" name="Leads e Alunos" sheetId="4" r:id="rId8"/>
    <sheet state="visible" name="Sensibilidade" sheetId="5" r:id="rId9"/>
  </sheets>
  <definedNames/>
  <calcPr/>
</workbook>
</file>

<file path=xl/sharedStrings.xml><?xml version="1.0" encoding="utf-8"?>
<sst xmlns="http://schemas.openxmlformats.org/spreadsheetml/2006/main" count="176" uniqueCount="161">
  <si>
    <t>Evolução mensal da base com teto de alunos ativos e lista de espera (12 meses)</t>
  </si>
  <si>
    <t>Projeção por cenário e faixa de verba (resultado mensal)</t>
  </si>
  <si>
    <t>Projeção de tráfego pago — Consultoria de treino e dieta</t>
  </si>
  <si>
    <t>Simulação simplificada: cada aluno captado fica exatamente o número de meses de permanência. Com a base no teto, as vagas fecham; a campanha normal pausa e só roda a campanha enxuta de lista de espera.</t>
  </si>
  <si>
    <t>Todos os valores vêm da aba Premissas; altere lá e esta aba recalcula.</t>
  </si>
  <si>
    <t>Cenário (1 = Conservador, 2 = Realista, 3 = Otimista)</t>
  </si>
  <si>
    <t>Legenda: texto azul = dado ou hipótese que você pode editar · texto preto = fórmula · texto verde = vem de outra aba · fundo amarelo = hipótese principal a validar com campanha real</t>
  </si>
  <si>
    <t>Cenário</t>
  </si>
  <si>
    <t>DADOS DO CLIENTE</t>
  </si>
  <si>
    <t>Verba/mês (R$)</t>
  </si>
  <si>
    <t>CPL (R$)</t>
  </si>
  <si>
    <t>Fechamento</t>
  </si>
  <si>
    <t>CAC (R$)</t>
  </si>
  <si>
    <t>Leads pagos/mês</t>
  </si>
  <si>
    <t>Alunos novos (potencial)</t>
  </si>
  <si>
    <t>Alunos novos (limitado pela capacidade)</t>
  </si>
  <si>
    <t>Conversas totais/mês (orgânico + pago)</t>
  </si>
  <si>
    <t>Receita da 1ª compra (R$)</t>
  </si>
  <si>
    <t>Contribuição na permanência (R$)</t>
  </si>
  <si>
    <t>Resultado líquido (R$)</t>
  </si>
  <si>
    <t>Retorno (contribuição ÷ verba)</t>
  </si>
  <si>
    <t>Base ativa em regime (sem fechar vagas)</t>
  </si>
  <si>
    <t>Alerta</t>
  </si>
  <si>
    <t>Meses até lotar o teto de alunos ativos</t>
  </si>
  <si>
    <t>Verba/mês para manter a base no teto (R$)</t>
  </si>
  <si>
    <t>Leads e alunos por faixa de verba, CPL e fechamento</t>
  </si>
  <si>
    <t>Custo mensal da operação (R$)</t>
  </si>
  <si>
    <t>Cada bloco é uma faixa de verba mensal (definida na aba Premissas). À esquerda: leads e alunos novos; à direita: CAC resultante. Os eixos de CPL e fechamento vêm da aba Sensibilidade.</t>
  </si>
  <si>
    <t>CAC de equilíbrio (R$)</t>
  </si>
  <si>
    <t>Informado pelo cliente (equipe, ferramentas, estrutura; não inclui verba de anúncios)</t>
  </si>
  <si>
    <t>Alunos ativos hoje</t>
  </si>
  <si>
    <t>Informado: 185 a 190; usado o ponto médio</t>
  </si>
  <si>
    <t>Entradas novas por mês (orgânico)</t>
  </si>
  <si>
    <t>Informado; a média real de jun–set é 15,75</t>
  </si>
  <si>
    <t>Fechamento do orgânico (leads → alunos)</t>
  </si>
  <si>
    <t>Verba máxima por mês, campanha normal (R$)</t>
  </si>
  <si>
    <t>Informado: 1 a cada 6; oscilou nos últimos 3 meses</t>
  </si>
  <si>
    <t>Leads orgânicos por mês (estimado)</t>
  </si>
  <si>
    <t>Limite 'bom' de CAC (R$)</t>
  </si>
  <si>
    <t>Gasta enquanto há vaga; pausa com vagas fechadas</t>
  </si>
  <si>
    <t>CAC do cenário (R$)</t>
  </si>
  <si>
    <t>Folga de capacidade (alunos/mês)</t>
  </si>
  <si>
    <t>Cores: alunos em laranja = acima da folga de capacidade · CAC verde até o limite bom, amarelo até o equilíbrio, vermelho acima.</t>
  </si>
  <si>
    <t>Alunos ativos hoje · teto</t>
  </si>
  <si>
    <t>Faixa 1: verba mensal (R$)</t>
  </si>
  <si>
    <t>Estimado a partir das entradas e do fechamento; o cliente relata 40 a 200 por mês, média ~95</t>
  </si>
  <si>
    <t>Capacidade de entradas novas por mês</t>
  </si>
  <si>
    <t>Informado pelo cliente</t>
  </si>
  <si>
    <t>Teto de alunos ativos (vagas fecham ao atingir)</t>
  </si>
  <si>
    <t>Informado pelo cliente: 230 é o número ideal; ao atingir, fecham as vagas por um tempo</t>
  </si>
  <si>
    <t>Permanência média / LTV (meses)</t>
  </si>
  <si>
    <t>Desconto aplicado aos preços</t>
  </si>
  <si>
    <t>Contribuição por aluno novo (R$) · folga de entradas/mês</t>
  </si>
  <si>
    <t>0% = preço normal · 10% = condição da Black Friday</t>
  </si>
  <si>
    <t>PLANOS E MIX DE VENDAS (jun–set, informado pelo cliente)</t>
  </si>
  <si>
    <t>Plano</t>
  </si>
  <si>
    <t>Preço cheio (R$)</t>
  </si>
  <si>
    <t>Meses do plano</t>
  </si>
  <si>
    <t>Verba mensal da campanha de lista de espera (R$)</t>
  </si>
  <si>
    <t>Alunos novos jun–set</t>
  </si>
  <si>
    <t>HIPÓTESE minha. Gasta só com vagas fechadas. Coloque 0 para pausar tudo e comparar</t>
  </si>
  <si>
    <t>Alunos novos por mês (potencial), conforme o fechamento</t>
  </si>
  <si>
    <t>Peso no mix</t>
  </si>
  <si>
    <t>CPL da lista de espera, em % do CPL do cenário · resultado em R$</t>
  </si>
  <si>
    <t>Valor mensal (R$)</t>
  </si>
  <si>
    <t>Trimestral</t>
  </si>
  <si>
    <t>CAC resultante (R$), conforme o fechamento</t>
  </si>
  <si>
    <t>HIPÓTESE minha. 100% = mesmo custo do lead da campanha normal (conservador)</t>
  </si>
  <si>
    <t>Conversão da espera na reabertura, em % do fechamento do cenário · resultado</t>
  </si>
  <si>
    <t>Semestral</t>
  </si>
  <si>
    <t>Anual</t>
  </si>
  <si>
    <t>HIPÓTESE minha. Lead que espera semanas tende a converter menos; validar na prática</t>
  </si>
  <si>
    <t>Mês</t>
  </si>
  <si>
    <t>Vagas livres no teto</t>
  </si>
  <si>
    <t>Lista de espera no início (leads)</t>
  </si>
  <si>
    <t>Alunos da espera admitidos</t>
  </si>
  <si>
    <t>Alunos que a verba normal compra</t>
  </si>
  <si>
    <t>Total</t>
  </si>
  <si>
    <t>Alunos pagos admitidos</t>
  </si>
  <si>
    <t>Total de alunos admitidos</t>
  </si>
  <si>
    <t>Alunos ativos ao fim do mês</t>
  </si>
  <si>
    <t>Verba campanha normal (R$)</t>
  </si>
  <si>
    <t>Verba lista de espera (R$)</t>
  </si>
  <si>
    <t>Novos leads na espera</t>
  </si>
  <si>
    <t>Lista de espera no fim (leads)</t>
  </si>
  <si>
    <t>Contribuição dos admitidos (R$)</t>
  </si>
  <si>
    <t>Resultado do mês (R$)</t>
  </si>
  <si>
    <t>Situação</t>
  </si>
  <si>
    <t>Lotou (1 = sim)</t>
  </si>
  <si>
    <t>Entradas por mês: jun 18 · jul 4 · ago 18 · set 23 (informado pelo cliente)</t>
  </si>
  <si>
    <t>INDICADORES CALCULADOS</t>
  </si>
  <si>
    <t>Ticket médio da 1ª compra (R$)</t>
  </si>
  <si>
    <t>Preço de cada plano ponderado pelo mix, já com o desconto</t>
  </si>
  <si>
    <t>Valor mensal médio por aluno (R$)</t>
  </si>
  <si>
    <t>Valor mensal de cada plano ponderado pelo mix</t>
  </si>
  <si>
    <t>LTV bruto no período (R$)</t>
  </si>
  <si>
    <t>Valor mensal médio × permanência (aproximação)</t>
  </si>
  <si>
    <t>Custo de atendimento por aluno/mês (R$)</t>
  </si>
  <si>
    <t>Custo da operação ÷ alunos ativos</t>
  </si>
  <si>
    <t>Custo de atendimento no período (R$)</t>
  </si>
  <si>
    <t>Custo mensal por aluno × permanência</t>
  </si>
  <si>
    <t>Contribuição por aluno novo = CAC de equilíbrio (R$)</t>
  </si>
  <si>
    <t>Acima desse CAC, o aluno dá prejuízo na permanência</t>
  </si>
  <si>
    <t>Folga de capacidade para entradas via tráfego (alunos/mês)</t>
  </si>
  <si>
    <t>Capacidade de entradas menos as entradas orgânicas</t>
  </si>
  <si>
    <t>Entradas extras/mês para manter a base no teto (alunos/mês)</t>
  </si>
  <si>
    <t>(teto − ativos hoje) ÷ permanência; é o ritmo do tráfego depois que a base lota</t>
  </si>
  <si>
    <t>CENÁRIOS DE TRÁFEGO (hipóteses a validar nas primeiras 2 a 4 semanas)</t>
  </si>
  <si>
    <t>CPL (R$ por conversa no WhatsApp)</t>
  </si>
  <si>
    <t>Fechamento do tráfego</t>
  </si>
  <si>
    <t>CAC resultante (R$)</t>
  </si>
  <si>
    <t>Conservador</t>
  </si>
  <si>
    <t>Realista</t>
  </si>
  <si>
    <t>Otimista</t>
  </si>
  <si>
    <t>Otimista = o tráfego fecha tanto quanto o orgânico</t>
  </si>
  <si>
    <t>FAIXAS DE VERBA MENSAL EM ANÚNCIOS (R$)</t>
  </si>
  <si>
    <t>Faixa 1</t>
  </si>
  <si>
    <t>Faixa 2</t>
  </si>
  <si>
    <t>Faixa 3</t>
  </si>
  <si>
    <t>NOTAS E LIMITAÇÕES</t>
  </si>
  <si>
    <t>1. Vêm do cliente: custo, alunos ativos, entradas, capacidade de entradas (35/mês), teto de 230 alunos ativos, LTV, mix de planos (jun–set), fechamento do orgânico e faixa de leads.</t>
  </si>
  <si>
    <t>2. São hipóteses minhas, não benchmarks verificados: CPL e fechamento dos 3 cenários e as faixas de verba. Substituir por dados reais após 2 a 4 semanas de campanha.</t>
  </si>
  <si>
    <t>3. CPL = custo por conversa iniciada no WhatsApp a partir do anúncio (clique no botão da landing que vira mensagem).</t>
  </si>
  <si>
    <t>4. O custo por aluno assume que o custo da operação cresce junto com a base (conservador, pois parte dele é fixa).</t>
  </si>
  <si>
    <t>5. O LTV em reais é uma aproximação: valor mensal médio ponderado pelo mix × permanência média.</t>
  </si>
  <si>
    <t>6. Não inclui impostos, taxas de pagamento, nem o tempo extra da ligação de alinhamento (bônus da Black Friday).</t>
  </si>
  <si>
    <t>7. Lista de espera (aba Evolução): verba, CPL e conversão da espera são hipóteses minhas, a validar na prática.</t>
  </si>
  <si>
    <t>Faixa 2: verba mensal (R$)</t>
  </si>
  <si>
    <t>Total 12 meses</t>
  </si>
  <si>
    <t>Faixa 3: verba mensal (R$)</t>
  </si>
  <si>
    <t>Sensibilidade: CAC conforme CPL e fechamento</t>
  </si>
  <si>
    <t>RESUMO</t>
  </si>
  <si>
    <t>Primeiro mês em que a base lota o teto</t>
  </si>
  <si>
    <t>Margem de segurança (% do CAC de equilíbrio)</t>
  </si>
  <si>
    <t>Verba mensal de manutenção da campanha normal, com a base no teto (R$)</t>
  </si>
  <si>
    <t>Hipótese minha: queremos um CAC de no máximo metade do equilíbrio</t>
  </si>
  <si>
    <t>Entradas extras sustentáveis × CAC do cenário</t>
  </si>
  <si>
    <t>Verba total em 12 meses (normal + espera) (R$)</t>
  </si>
  <si>
    <t>Alunos admitidos em 12 meses · dos quais vindos da lista de espera</t>
  </si>
  <si>
    <t>CAC (R$) por CPL × fechamento  ·  verde: até o limite bom  ·  amarelo: até o equilíbrio  ·  vermelho: acima do equilíbrio</t>
  </si>
  <si>
    <t>CAC médio dos 12 meses (R$)</t>
  </si>
  <si>
    <t>CPL (R$)  ↓   /   Fechamento  →</t>
  </si>
  <si>
    <t>Retorno dos 12 meses (contribuição ÷ verba total)</t>
  </si>
  <si>
    <t>CAC de um aluno vindo da lista de espera (R$)</t>
  </si>
  <si>
    <t>CPL da espera ÷ conversão da espera</t>
  </si>
  <si>
    <t>CAC de um aluno vindo da campanha normal (R$)</t>
  </si>
  <si>
    <t>Leitura</t>
  </si>
  <si>
    <t>Como o teto de alunos limita as entradas, quem vem da lista de espera ocupa a vaga de quem viria do anúncio. Por isso a comparação de CAC no resumo é o que decide se vale manter a campanha de espera.</t>
  </si>
  <si>
    <t>A lista de espera pode ter outro benefício que a simulação não mede: encher as vagas mais rápido na reabertura, sem esperar a campanha normal ganhar tração.</t>
  </si>
  <si>
    <t>Os leads atendidos na reabertura saem da lista, convertam ou não; só sobram leads quando faltam vagas. O envelhecimento do lead só entra pelo desconto de conversão (quanto mais tempo parado, menor a conversão).</t>
  </si>
  <si>
    <t>Limitação: com permanência fixa de 6 meses, as saídas acontecem em bloco e as vagas abrem e fecham em ondas. Na prática as saídas se espalham.</t>
  </si>
  <si>
    <t>O resultado de cada mês atribui ao mês da entrada toda a contribuição do aluno (receita menos custo de atendimento nos 6 meses).</t>
  </si>
  <si>
    <t>Premissas, CPL, fechamento e CAC vêm da aba Premissas; aqui você edita o cenário, a verba e as hipóteses da lista de espera (células amarelas).</t>
  </si>
  <si>
    <t>Alunos novos por mês para a verba abaixo (sem o teto de capacidade)</t>
  </si>
  <si>
    <t>Verba mensal analisada (R$)</t>
  </si>
  <si>
    <t>Puxa a Faixa 2 da aba Premissas; todas as faixas estão na aba Leads e Alunos</t>
  </si>
  <si>
    <t>Como ler: Contribuição = alunos novos × (LTV − custo de atendimento no período). Resultado líquido = contribuição − verba do mês.</t>
  </si>
  <si>
    <t>O resultado considera a permanência (6 meses) dos alunos captados no mês, não o caixa do mês; a coluna de receita da 1ª compra mostra o caixa de entrada.</t>
  </si>
  <si>
    <t>Quando o potencial passa da folga de entradas, os alunos excedentes não entram na conta e a verba excedente vira desperdício (ver alerta).</t>
  </si>
  <si>
    <t>Base ativa em regime = alunos ativos hoje + alunos novos por mês × permanência, se as vagas nunca fechassem. Com o teto de alunos ativos, os valores mensais acima só valem enquanto há vaga.</t>
  </si>
  <si>
    <t>A aba Evolução mostra mês a mês o que acontece com o teto: a base lota, as vagas fecham e a verba cai para o nível de manutenção.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</si>
</sst>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;\(#,##0\);\-"/>
    <numFmt numFmtId="165" formatCode="&quot;R$ &quot;#,##0;&quot;(R$ &quot;#,##0\);\-"/>
    <numFmt numFmtId="166" formatCode="0.0%"/>
    <numFmt numFmtId="167" formatCode="&quot;R$ &quot;#,##0.00;&quot;(R$ &quot;#,##0.00\);\-"/>
    <numFmt numFmtId="168" formatCode="#,##0.0;\(#,##0.0\);\-"/>
    <numFmt numFmtId="169" formatCode="0.00\x"/>
  </numFmts>
  <fonts count="11">
    <font>
      <sz val="11.0"/>
      <color theme="1"/>
      <name val="Calibri"/>
      <scheme val="minor"/>
    </font>
    <font>
      <b/>
      <sz val="14.0"/>
      <color rgb="FF000000"/>
      <name val="Arial"/>
    </font>
    <font>
      <i/>
      <sz val="10.0"/>
      <color rgb="FF595959"/>
      <name val="Arial"/>
    </font>
    <font>
      <sz val="10.0"/>
      <color rgb="FF000000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FF"/>
      <name val="Arial"/>
    </font>
    <font>
      <sz val="11.0"/>
      <color theme="1"/>
      <name val="Calibri"/>
    </font>
    <font>
      <b/>
      <sz val="10.0"/>
      <color rgb="FF008000"/>
      <name val="Arial"/>
    </font>
    <font>
      <sz val="10.0"/>
      <color rgb="FF008000"/>
      <name val="Arial"/>
    </font>
    <font>
      <b/>
      <sz val="10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shrinkToFit="0" vertical="bottom" wrapText="0"/>
    </xf>
    <xf borderId="2" fillId="3" fontId="7" numFmtId="0" xfId="0" applyAlignment="1" applyBorder="1" applyFill="1" applyFont="1">
      <alignment shrinkToFit="0" vertical="bottom" wrapText="0"/>
    </xf>
    <xf borderId="1" fillId="4" fontId="6" numFmtId="164" xfId="0" applyAlignment="1" applyBorder="1" applyFill="1" applyFont="1" applyNumberFormat="1">
      <alignment readingOrder="0" shrinkToFit="0" vertical="bottom" wrapText="0"/>
    </xf>
    <xf borderId="1" fillId="0" fontId="6" numFmtId="165" xfId="0" applyAlignment="1" applyBorder="1" applyFont="1" applyNumberFormat="1">
      <alignment shrinkToFit="0" vertical="bottom" wrapText="0"/>
    </xf>
    <xf borderId="1" fillId="0" fontId="6" numFmtId="164" xfId="0" applyAlignment="1" applyBorder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4" fontId="6" numFmtId="165" xfId="0" applyAlignment="1" applyBorder="1" applyFill="1" applyFont="1" applyNumberFormat="1">
      <alignment shrinkToFit="0" vertical="bottom" wrapText="0"/>
    </xf>
    <xf borderId="1" fillId="0" fontId="6" numFmtId="166" xfId="0" applyAlignment="1" applyBorder="1" applyFont="1" applyNumberFormat="1">
      <alignment shrinkToFit="0" vertical="bottom" wrapText="0"/>
    </xf>
    <xf borderId="1" fillId="0" fontId="9" numFmtId="165" xfId="0" applyAlignment="1" applyBorder="1" applyFont="1" applyNumberFormat="1">
      <alignment shrinkToFit="0" vertical="bottom" wrapText="0"/>
    </xf>
    <xf borderId="1" fillId="0" fontId="9" numFmtId="167" xfId="0" applyAlignment="1" applyBorder="1" applyFont="1" applyNumberFormat="1">
      <alignment shrinkToFit="0" vertical="bottom" wrapText="0"/>
    </xf>
    <xf borderId="1" fillId="0" fontId="9" numFmtId="164" xfId="0" applyAlignment="1" applyBorder="1" applyFont="1" applyNumberFormat="1">
      <alignment shrinkToFit="0" vertical="bottom" wrapText="0"/>
    </xf>
    <xf borderId="1" fillId="0" fontId="9" numFmtId="166" xfId="0" applyAlignment="1" applyBorder="1" applyFont="1" applyNumberForma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2" fillId="3" fontId="8" numFmtId="165" xfId="0" applyAlignment="1" applyBorder="1" applyFill="1" applyFont="1" applyNumberFormat="1">
      <alignment shrinkToFit="0" vertical="bottom" wrapText="0"/>
    </xf>
    <xf borderId="1" fillId="0" fontId="3" numFmtId="165" xfId="0" applyAlignment="1" applyBorder="1" applyFont="1" applyNumberFormat="1">
      <alignment shrinkToFit="0" vertical="bottom" wrapText="0"/>
    </xf>
    <xf borderId="1" fillId="4" fontId="6" numFmtId="166" xfId="0" applyAlignment="1" applyBorder="1" applyFill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168" xfId="0" applyAlignment="1" applyBorder="1" applyFont="1" applyNumberFormat="1">
      <alignment shrinkToFit="0" vertical="bottom" wrapText="0"/>
    </xf>
    <xf borderId="0" fillId="0" fontId="5" numFmtId="0" xfId="0" applyAlignment="1" applyFont="1">
      <alignment horizontal="center" shrinkToFit="0" vertical="center" wrapText="0"/>
    </xf>
    <xf borderId="1" fillId="0" fontId="3" numFmtId="166" xfId="0" applyAlignment="1" applyBorder="1" applyFont="1" applyNumberFormat="1">
      <alignment shrinkToFit="0" vertical="bottom" wrapText="0"/>
    </xf>
    <xf borderId="1" fillId="0" fontId="3" numFmtId="167" xfId="0" applyAlignment="1" applyBorder="1" applyFont="1" applyNumberFormat="1">
      <alignment shrinkToFit="0" vertical="bottom" wrapText="0"/>
    </xf>
    <xf borderId="1" fillId="2" fontId="4" numFmtId="166" xfId="0" applyAlignment="1" applyBorder="1" applyFill="1" applyFont="1" applyNumberFormat="1">
      <alignment horizontal="center" shrinkToFit="0" vertical="center" wrapText="0"/>
    </xf>
    <xf borderId="1" fillId="0" fontId="5" numFmtId="0" xfId="0" applyAlignment="1" applyBorder="1" applyFont="1">
      <alignment shrinkToFit="0" vertical="bottom" wrapText="0"/>
    </xf>
    <xf borderId="1" fillId="0" fontId="5" numFmtId="164" xfId="0" applyAlignment="1" applyBorder="1" applyFont="1" applyNumberFormat="1">
      <alignment shrinkToFit="0" vertical="bottom" wrapText="0"/>
    </xf>
    <xf borderId="1" fillId="0" fontId="3" numFmtId="164" xfId="0" applyAlignment="1" applyBorder="1" applyFont="1" applyNumberFormat="1">
      <alignment horizontal="center" shrinkToFit="0" vertical="center" wrapText="0"/>
    </xf>
    <xf borderId="1" fillId="0" fontId="3" numFmtId="169" xfId="0" applyAlignment="1" applyBorder="1" applyFont="1" applyNumberFormat="1">
      <alignment shrinkToFit="0" vertical="bottom" wrapText="0"/>
    </xf>
    <xf borderId="1" fillId="0" fontId="5" numFmtId="166" xfId="0" applyAlignment="1" applyBorder="1" applyFont="1" applyNumberFormat="1">
      <alignment shrinkToFit="0" vertical="bottom" wrapText="0"/>
    </xf>
    <xf borderId="1" fillId="0" fontId="6" numFmtId="168" xfId="0" applyAlignment="1" applyBorder="1" applyFont="1" applyNumberFormat="1">
      <alignment shrinkToFit="0" vertical="bottom" wrapText="0"/>
    </xf>
    <xf borderId="1" fillId="0" fontId="8" numFmtId="167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0" fontId="5" numFmtId="165" xfId="0" applyAlignment="1" applyBorder="1" applyFont="1" applyNumberFormat="1">
      <alignment shrinkToFit="0" vertical="bottom" wrapText="0"/>
    </xf>
    <xf borderId="1" fillId="4" fontId="6" numFmtId="167" xfId="0" applyAlignment="1" applyBorder="1" applyFill="1" applyFont="1" applyNumberFormat="1">
      <alignment shrinkToFit="0" vertical="bottom" wrapText="0"/>
    </xf>
    <xf borderId="1" fillId="4" fontId="3" numFmtId="166" xfId="0" applyAlignment="1" applyBorder="1" applyFill="1" applyFont="1" applyNumberFormat="1">
      <alignment shrinkToFit="0" vertical="bottom" wrapText="0"/>
    </xf>
    <xf borderId="1" fillId="0" fontId="5" numFmtId="168" xfId="0" applyAlignment="1" applyBorder="1" applyFont="1" applyNumberFormat="1">
      <alignment shrinkToFit="0" vertical="bottom" wrapText="0"/>
    </xf>
    <xf borderId="1" fillId="0" fontId="10" numFmtId="166" xfId="0" applyAlignment="1" applyBorder="1" applyFont="1" applyNumberFormat="1">
      <alignment horizontal="center" shrinkToFit="0" vertical="center" wrapText="0"/>
    </xf>
    <xf borderId="1" fillId="0" fontId="10" numFmtId="167" xfId="0" applyAlignment="1" applyBorder="1" applyFont="1" applyNumberFormat="1">
      <alignment shrinkToFit="0" vertical="bottom" wrapText="0"/>
    </xf>
    <xf borderId="1" fillId="0" fontId="5" numFmtId="166" xfId="0" applyAlignment="1" applyBorder="1" applyFont="1" applyNumberFormat="1">
      <alignment horizontal="center" shrinkToFit="0" vertical="center" wrapText="0"/>
    </xf>
    <xf borderId="1" fillId="0" fontId="5" numFmtId="167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6"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sz val="10.0"/>
        <color rgb="FFC0000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3" width="20.0"/>
    <col customWidth="1" min="4" max="4" width="22.0"/>
    <col customWidth="1" min="5" max="5" width="14.0"/>
    <col customWidth="1" min="6" max="6" width="18.0"/>
    <col customWidth="1" min="7" max="7" width="30.0"/>
    <col customWidth="1" min="8" max="26" width="8.71"/>
  </cols>
  <sheetData>
    <row r="1">
      <c r="A1" s="1" t="s">
        <v>2</v>
      </c>
    </row>
    <row r="2">
      <c r="A2" s="2" t="s">
        <v>6</v>
      </c>
    </row>
    <row r="4">
      <c r="A4" s="5" t="s">
        <v>8</v>
      </c>
      <c r="B4" s="6"/>
      <c r="C4" s="6"/>
      <c r="D4" s="6"/>
      <c r="E4" s="6"/>
      <c r="F4" s="6"/>
      <c r="G4" s="6"/>
    </row>
    <row r="5">
      <c r="A5" s="3" t="s">
        <v>26</v>
      </c>
      <c r="B5" s="8">
        <v>18000.0</v>
      </c>
      <c r="C5" s="2" t="s">
        <v>29</v>
      </c>
    </row>
    <row r="6">
      <c r="A6" s="3" t="s">
        <v>30</v>
      </c>
      <c r="B6" s="9">
        <v>187.0</v>
      </c>
      <c r="C6" s="2" t="s">
        <v>31</v>
      </c>
    </row>
    <row r="7">
      <c r="A7" s="3" t="s">
        <v>32</v>
      </c>
      <c r="B7" s="9">
        <v>16.0</v>
      </c>
      <c r="C7" s="2" t="s">
        <v>33</v>
      </c>
    </row>
    <row r="8">
      <c r="A8" s="3" t="s">
        <v>34</v>
      </c>
      <c r="B8" s="13">
        <f>1/6</f>
        <v>0.1666666667</v>
      </c>
      <c r="C8" s="2" t="s">
        <v>36</v>
      </c>
    </row>
    <row r="9">
      <c r="A9" s="3" t="s">
        <v>37</v>
      </c>
      <c r="B9" s="18">
        <f>B7/B8</f>
        <v>96</v>
      </c>
      <c r="C9" s="2" t="s">
        <v>45</v>
      </c>
    </row>
    <row r="10">
      <c r="A10" s="3" t="s">
        <v>46</v>
      </c>
      <c r="B10" s="9">
        <v>35.0</v>
      </c>
      <c r="C10" s="2" t="s">
        <v>47</v>
      </c>
    </row>
    <row r="11">
      <c r="A11" s="3" t="s">
        <v>48</v>
      </c>
      <c r="B11" s="9">
        <v>230.0</v>
      </c>
      <c r="C11" s="2" t="s">
        <v>49</v>
      </c>
    </row>
    <row r="12">
      <c r="A12" s="3" t="s">
        <v>50</v>
      </c>
      <c r="B12" s="9">
        <v>6.0</v>
      </c>
      <c r="C12" s="2" t="s">
        <v>47</v>
      </c>
    </row>
    <row r="13">
      <c r="A13" s="3" t="s">
        <v>51</v>
      </c>
      <c r="B13" s="21">
        <v>0.0</v>
      </c>
      <c r="C13" s="2" t="s">
        <v>53</v>
      </c>
    </row>
    <row r="15">
      <c r="A15" s="5" t="s">
        <v>54</v>
      </c>
      <c r="B15" s="6"/>
      <c r="C15" s="6"/>
      <c r="D15" s="6"/>
      <c r="E15" s="6"/>
      <c r="F15" s="6"/>
      <c r="G15" s="6"/>
    </row>
    <row r="16">
      <c r="A16" s="4" t="s">
        <v>55</v>
      </c>
      <c r="B16" s="4" t="s">
        <v>56</v>
      </c>
      <c r="C16" s="4" t="s">
        <v>57</v>
      </c>
      <c r="D16" s="4" t="s">
        <v>59</v>
      </c>
      <c r="E16" s="4" t="s">
        <v>62</v>
      </c>
      <c r="F16" s="4" t="s">
        <v>64</v>
      </c>
    </row>
    <row r="17">
      <c r="A17" s="22" t="s">
        <v>65</v>
      </c>
      <c r="B17" s="8">
        <v>899.0</v>
      </c>
      <c r="C17" s="9">
        <v>3.0</v>
      </c>
      <c r="D17" s="9">
        <v>33.0</v>
      </c>
      <c r="E17" s="25">
        <f t="shared" ref="E17:E19" si="1">D17/$D$20</f>
        <v>0.5238095238</v>
      </c>
      <c r="F17" s="20">
        <f t="shared" ref="F17:F19" si="2">B17/C17</f>
        <v>299.6666667</v>
      </c>
    </row>
    <row r="18">
      <c r="A18" s="22" t="s">
        <v>69</v>
      </c>
      <c r="B18" s="8">
        <v>1349.0</v>
      </c>
      <c r="C18" s="9">
        <v>6.0</v>
      </c>
      <c r="D18" s="9">
        <v>27.0</v>
      </c>
      <c r="E18" s="25">
        <f t="shared" si="1"/>
        <v>0.4285714286</v>
      </c>
      <c r="F18" s="20">
        <f t="shared" si="2"/>
        <v>224.8333333</v>
      </c>
    </row>
    <row r="19">
      <c r="A19" s="22" t="s">
        <v>70</v>
      </c>
      <c r="B19" s="8">
        <v>2349.0</v>
      </c>
      <c r="C19" s="9">
        <v>12.0</v>
      </c>
      <c r="D19" s="9">
        <v>3.0</v>
      </c>
      <c r="E19" s="25">
        <f t="shared" si="1"/>
        <v>0.04761904762</v>
      </c>
      <c r="F19" s="20">
        <f t="shared" si="2"/>
        <v>195.75</v>
      </c>
    </row>
    <row r="20">
      <c r="A20" s="28" t="s">
        <v>77</v>
      </c>
      <c r="B20" s="22"/>
      <c r="C20" s="22"/>
      <c r="D20" s="29">
        <f t="shared" ref="D20:E20" si="3">SUM(D17:D19)</f>
        <v>63</v>
      </c>
      <c r="E20" s="32">
        <f t="shared" si="3"/>
        <v>1</v>
      </c>
      <c r="F20" s="22"/>
    </row>
    <row r="21" ht="15.75" customHeight="1">
      <c r="A21" s="2" t="s">
        <v>89</v>
      </c>
    </row>
    <row r="22" ht="15.75" customHeight="1">
      <c r="A22" s="5" t="s">
        <v>90</v>
      </c>
      <c r="B22" s="6"/>
      <c r="C22" s="6"/>
      <c r="D22" s="6"/>
      <c r="E22" s="6"/>
      <c r="F22" s="6"/>
      <c r="G22" s="6"/>
    </row>
    <row r="23" ht="15.75" customHeight="1">
      <c r="A23" s="3" t="s">
        <v>91</v>
      </c>
      <c r="B23" s="20">
        <f>SUMPRODUCT(B17:B19,D17:D19)/D20*(1-B13)</f>
        <v>1160.904762</v>
      </c>
      <c r="C23" s="2" t="s">
        <v>92</v>
      </c>
    </row>
    <row r="24" ht="15.75" customHeight="1">
      <c r="A24" s="3" t="s">
        <v>93</v>
      </c>
      <c r="B24" s="20">
        <f>SUMPRODUCT(F17:F19,D17:D19)/D20*(1-B13)</f>
        <v>262.6468254</v>
      </c>
      <c r="C24" s="2" t="s">
        <v>94</v>
      </c>
    </row>
    <row r="25" ht="15.75" customHeight="1">
      <c r="A25" s="3" t="s">
        <v>95</v>
      </c>
      <c r="B25" s="20">
        <f>B24*B12</f>
        <v>1575.880952</v>
      </c>
      <c r="C25" s="2" t="s">
        <v>96</v>
      </c>
    </row>
    <row r="26" ht="15.75" customHeight="1">
      <c r="A26" s="3" t="s">
        <v>97</v>
      </c>
      <c r="B26" s="20">
        <f>B5/B6</f>
        <v>96.25668449</v>
      </c>
      <c r="C26" s="2" t="s">
        <v>98</v>
      </c>
    </row>
    <row r="27" ht="15.75" customHeight="1">
      <c r="A27" s="3" t="s">
        <v>99</v>
      </c>
      <c r="B27" s="20">
        <f>B26*B12</f>
        <v>577.540107</v>
      </c>
      <c r="C27" s="2" t="s">
        <v>100</v>
      </c>
    </row>
    <row r="28" ht="15.75" customHeight="1">
      <c r="A28" s="35" t="s">
        <v>101</v>
      </c>
      <c r="B28" s="36">
        <f>B25-B27</f>
        <v>998.3408454</v>
      </c>
      <c r="C28" s="2" t="s">
        <v>102</v>
      </c>
    </row>
    <row r="29" ht="15.75" customHeight="1">
      <c r="A29" s="3" t="s">
        <v>103</v>
      </c>
      <c r="B29" s="18">
        <f>B10-B7</f>
        <v>19</v>
      </c>
      <c r="C29" s="2" t="s">
        <v>104</v>
      </c>
    </row>
    <row r="30" ht="15.75" customHeight="1">
      <c r="A30" s="3" t="s">
        <v>105</v>
      </c>
      <c r="B30" s="23">
        <f>(B11-B6)/B12</f>
        <v>7.166666667</v>
      </c>
      <c r="C30" s="2" t="s">
        <v>106</v>
      </c>
    </row>
    <row r="31" ht="15.75" customHeight="1">
      <c r="A31" s="5" t="s">
        <v>107</v>
      </c>
      <c r="B31" s="6"/>
      <c r="C31" s="6"/>
      <c r="D31" s="6"/>
      <c r="E31" s="6"/>
      <c r="F31" s="6"/>
      <c r="G31" s="6"/>
    </row>
    <row r="32" ht="42.0" customHeight="1">
      <c r="A32" s="4" t="s">
        <v>7</v>
      </c>
      <c r="B32" s="4" t="s">
        <v>108</v>
      </c>
      <c r="C32" s="4" t="s">
        <v>109</v>
      </c>
      <c r="D32" s="4" t="s">
        <v>110</v>
      </c>
    </row>
    <row r="33" ht="15.75" customHeight="1">
      <c r="A33" s="28" t="s">
        <v>111</v>
      </c>
      <c r="B33" s="37">
        <v>50.0</v>
      </c>
      <c r="C33" s="21">
        <v>0.08</v>
      </c>
      <c r="D33" s="20">
        <f t="shared" ref="D33:D35" si="4">B33/C33</f>
        <v>625</v>
      </c>
    </row>
    <row r="34" ht="15.75" customHeight="1">
      <c r="A34" s="28" t="s">
        <v>112</v>
      </c>
      <c r="B34" s="37">
        <v>35.0</v>
      </c>
      <c r="C34" s="21">
        <v>0.12</v>
      </c>
      <c r="D34" s="20">
        <f t="shared" si="4"/>
        <v>291.6666667</v>
      </c>
    </row>
    <row r="35" ht="15.75" customHeight="1">
      <c r="A35" s="28" t="s">
        <v>113</v>
      </c>
      <c r="B35" s="37">
        <v>25.0</v>
      </c>
      <c r="C35" s="38">
        <f>B8</f>
        <v>0.1666666667</v>
      </c>
      <c r="D35" s="20">
        <f t="shared" si="4"/>
        <v>150</v>
      </c>
      <c r="E35" s="2" t="s">
        <v>114</v>
      </c>
    </row>
    <row r="36" ht="15.75" customHeight="1"/>
    <row r="37" ht="15.75" customHeight="1">
      <c r="A37" s="5" t="s">
        <v>115</v>
      </c>
      <c r="B37" s="6"/>
      <c r="C37" s="6"/>
      <c r="D37" s="6"/>
      <c r="E37" s="6"/>
      <c r="F37" s="6"/>
      <c r="G37" s="6"/>
    </row>
    <row r="38" ht="15.75" customHeight="1">
      <c r="A38" s="3" t="s">
        <v>116</v>
      </c>
      <c r="B38" s="12">
        <v>3000.0</v>
      </c>
    </row>
    <row r="39" ht="15.75" customHeight="1">
      <c r="A39" s="3" t="s">
        <v>117</v>
      </c>
      <c r="B39" s="12">
        <v>5000.0</v>
      </c>
    </row>
    <row r="40" ht="15.75" customHeight="1">
      <c r="A40" s="3" t="s">
        <v>118</v>
      </c>
      <c r="B40" s="12">
        <v>8000.0</v>
      </c>
    </row>
    <row r="41" ht="15.75" customHeight="1"/>
    <row r="42" ht="15.75" customHeight="1">
      <c r="A42" s="5" t="s">
        <v>119</v>
      </c>
      <c r="B42" s="6"/>
      <c r="C42" s="6"/>
      <c r="D42" s="6"/>
      <c r="E42" s="6"/>
      <c r="F42" s="6"/>
      <c r="G42" s="6"/>
    </row>
    <row r="43" ht="15.75" customHeight="1">
      <c r="A43" s="2" t="s">
        <v>120</v>
      </c>
    </row>
    <row r="44" ht="15.75" customHeight="1">
      <c r="A44" s="2" t="s">
        <v>121</v>
      </c>
    </row>
    <row r="45" ht="15.75" customHeight="1">
      <c r="A45" s="2" t="s">
        <v>122</v>
      </c>
    </row>
    <row r="46" ht="15.75" customHeight="1">
      <c r="A46" s="2" t="s">
        <v>123</v>
      </c>
    </row>
    <row r="47" ht="15.75" customHeight="1">
      <c r="A47" s="2" t="s">
        <v>124</v>
      </c>
    </row>
    <row r="48" ht="15.75" customHeight="1">
      <c r="A48" s="2" t="s">
        <v>125</v>
      </c>
    </row>
    <row r="49" ht="15.75" customHeight="1">
      <c r="A49" s="2" t="s">
        <v>126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6.0"/>
    <col customWidth="1" min="2" max="2" width="14.0"/>
    <col customWidth="1" min="3" max="3" width="11.0"/>
    <col customWidth="1" min="4" max="4" width="12.0"/>
    <col customWidth="1" min="5" max="5" width="11.0"/>
    <col customWidth="1" min="6" max="6" width="13.0"/>
    <col customWidth="1" min="7" max="7" width="14.0"/>
    <col customWidth="1" min="8" max="8" width="18.0"/>
    <col customWidth="1" min="9" max="9" width="20.0"/>
    <col customWidth="1" min="10" max="10" width="16.0"/>
    <col customWidth="1" min="11" max="11" width="18.0"/>
    <col customWidth="1" min="12" max="13" width="16.0"/>
    <col customWidth="1" min="14" max="14" width="18.0"/>
    <col customWidth="1" min="15" max="15" width="34.0"/>
    <col customWidth="1" min="16" max="16" width="18.0"/>
    <col customWidth="1" min="17" max="17" width="22.0"/>
    <col customWidth="1" min="18" max="26" width="8.71"/>
  </cols>
  <sheetData>
    <row r="1">
      <c r="A1" s="1" t="s">
        <v>1</v>
      </c>
    </row>
    <row r="2">
      <c r="A2" s="2" t="s">
        <v>4</v>
      </c>
    </row>
    <row r="4" ht="55.5" customHeight="1">
      <c r="A4" s="4" t="s">
        <v>7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  <c r="M4" s="4" t="s">
        <v>20</v>
      </c>
      <c r="N4" s="4" t="s">
        <v>21</v>
      </c>
      <c r="O4" s="4" t="s">
        <v>22</v>
      </c>
      <c r="P4" s="4" t="s">
        <v>23</v>
      </c>
      <c r="Q4" s="4" t="s">
        <v>24</v>
      </c>
    </row>
    <row r="5">
      <c r="A5" s="11" t="str">
        <f>Premissas!$A$33</f>
        <v>Conservador</v>
      </c>
      <c r="B5" s="14">
        <f>Premissas!$B$38</f>
        <v>3000</v>
      </c>
      <c r="C5" s="15">
        <f>Premissas!$B$33</f>
        <v>50</v>
      </c>
      <c r="D5" s="17">
        <f>Premissas!$C$33</f>
        <v>0.08</v>
      </c>
      <c r="E5" s="20">
        <f t="shared" ref="E5:E13" si="1">C5/D5</f>
        <v>625</v>
      </c>
      <c r="F5" s="18">
        <f t="shared" ref="F5:F13" si="2">B5/C5</f>
        <v>60</v>
      </c>
      <c r="G5" s="23">
        <f t="shared" ref="G5:G13" si="3">F5*D5</f>
        <v>4.8</v>
      </c>
      <c r="H5" s="23">
        <f>MIN(G5,Premissas!$B$29)</f>
        <v>4.8</v>
      </c>
      <c r="I5" s="18">
        <f>Premissas!$B$9+F5</f>
        <v>156</v>
      </c>
      <c r="J5" s="20">
        <f>H5*Premissas!$B$23</f>
        <v>5572.342857</v>
      </c>
      <c r="K5" s="20">
        <f>H5*Premissas!$B$28</f>
        <v>4792.036058</v>
      </c>
      <c r="L5" s="20">
        <f t="shared" ref="L5:L13" si="4">K5-B5</f>
        <v>1792.036058</v>
      </c>
      <c r="M5" s="31">
        <f t="shared" ref="M5:M13" si="5">K5/B5</f>
        <v>1.597345353</v>
      </c>
      <c r="N5" s="18">
        <f>Premissas!$B$6+H5*Premissas!$B$12</f>
        <v>215.8</v>
      </c>
      <c r="O5" s="22" t="str">
        <f>IF(G5&gt;Premissas!$B$29,"Passa da folga de entradas (35/mês)",IF(N5&gt;Premissas!$B$11,"Lota o teto: fechar vagas","OK"))</f>
        <v>OK</v>
      </c>
      <c r="P5" s="23" t="str">
        <f>IF(H5*Premissas!$B$12&lt;Premissas!$B$11-Premissas!$B$6,"Não lota",(Premissas!$B$11-Premissas!$B$6)/H5)</f>
        <v>Não lota</v>
      </c>
      <c r="Q5" s="20">
        <f>Premissas!$B$30*E5</f>
        <v>4479.166667</v>
      </c>
    </row>
    <row r="6">
      <c r="A6" s="11" t="str">
        <f>Premissas!$A$33</f>
        <v>Conservador</v>
      </c>
      <c r="B6" s="14">
        <f>Premissas!$B$39</f>
        <v>5000</v>
      </c>
      <c r="C6" s="15">
        <f>Premissas!$B$33</f>
        <v>50</v>
      </c>
      <c r="D6" s="17">
        <f>Premissas!$C$33</f>
        <v>0.08</v>
      </c>
      <c r="E6" s="20">
        <f t="shared" si="1"/>
        <v>625</v>
      </c>
      <c r="F6" s="18">
        <f t="shared" si="2"/>
        <v>100</v>
      </c>
      <c r="G6" s="23">
        <f t="shared" si="3"/>
        <v>8</v>
      </c>
      <c r="H6" s="23">
        <f>MIN(G6,Premissas!$B$29)</f>
        <v>8</v>
      </c>
      <c r="I6" s="18">
        <f>Premissas!$B$9+F6</f>
        <v>196</v>
      </c>
      <c r="J6" s="20">
        <f>H6*Premissas!$B$23</f>
        <v>9287.238095</v>
      </c>
      <c r="K6" s="20">
        <f>H6*Premissas!$B$28</f>
        <v>7986.726763</v>
      </c>
      <c r="L6" s="20">
        <f t="shared" si="4"/>
        <v>2986.726763</v>
      </c>
      <c r="M6" s="31">
        <f t="shared" si="5"/>
        <v>1.597345353</v>
      </c>
      <c r="N6" s="18">
        <f>Premissas!$B$6+H6*Premissas!$B$12</f>
        <v>235</v>
      </c>
      <c r="O6" s="22" t="str">
        <f>IF(G6&gt;Premissas!$B$29,"Passa da folga de entradas (35/mês)",IF(N6&gt;Premissas!$B$11,"Lota o teto: fechar vagas","OK"))</f>
        <v>Lota o teto: fechar vagas</v>
      </c>
      <c r="P6" s="23">
        <f>IF(H6*Premissas!$B$12&lt;Premissas!$B$11-Premissas!$B$6,"Não lota",(Premissas!$B$11-Premissas!$B$6)/H6)</f>
        <v>5.375</v>
      </c>
      <c r="Q6" s="20">
        <f>Premissas!$B$30*E6</f>
        <v>4479.166667</v>
      </c>
    </row>
    <row r="7">
      <c r="A7" s="11" t="str">
        <f>Premissas!$A$33</f>
        <v>Conservador</v>
      </c>
      <c r="B7" s="14">
        <f>Premissas!$B$40</f>
        <v>8000</v>
      </c>
      <c r="C7" s="15">
        <f>Premissas!$B$33</f>
        <v>50</v>
      </c>
      <c r="D7" s="17">
        <f>Premissas!$C$33</f>
        <v>0.08</v>
      </c>
      <c r="E7" s="20">
        <f t="shared" si="1"/>
        <v>625</v>
      </c>
      <c r="F7" s="18">
        <f t="shared" si="2"/>
        <v>160</v>
      </c>
      <c r="G7" s="23">
        <f t="shared" si="3"/>
        <v>12.8</v>
      </c>
      <c r="H7" s="23">
        <f>MIN(G7,Premissas!$B$29)</f>
        <v>12.8</v>
      </c>
      <c r="I7" s="18">
        <f>Premissas!$B$9+F7</f>
        <v>256</v>
      </c>
      <c r="J7" s="20">
        <f>H7*Premissas!$B$23</f>
        <v>14859.58095</v>
      </c>
      <c r="K7" s="20">
        <f>H7*Premissas!$B$28</f>
        <v>12778.76282</v>
      </c>
      <c r="L7" s="20">
        <f t="shared" si="4"/>
        <v>4778.762821</v>
      </c>
      <c r="M7" s="31">
        <f t="shared" si="5"/>
        <v>1.597345353</v>
      </c>
      <c r="N7" s="18">
        <f>Premissas!$B$6+H7*Premissas!$B$12</f>
        <v>263.8</v>
      </c>
      <c r="O7" s="22" t="str">
        <f>IF(G7&gt;Premissas!$B$29,"Passa da folga de entradas (35/mês)",IF(N7&gt;Premissas!$B$11,"Lota o teto: fechar vagas","OK"))</f>
        <v>Lota o teto: fechar vagas</v>
      </c>
      <c r="P7" s="23">
        <f>IF(H7*Premissas!$B$12&lt;Premissas!$B$11-Premissas!$B$6,"Não lota",(Premissas!$B$11-Premissas!$B$6)/H7)</f>
        <v>3.359375</v>
      </c>
      <c r="Q7" s="20">
        <f>Premissas!$B$30*E7</f>
        <v>4479.166667</v>
      </c>
    </row>
    <row r="8">
      <c r="A8" s="11" t="str">
        <f>Premissas!$A$34</f>
        <v>Realista</v>
      </c>
      <c r="B8" s="14">
        <f>Premissas!$B$38</f>
        <v>3000</v>
      </c>
      <c r="C8" s="15">
        <f>Premissas!$B$34</f>
        <v>35</v>
      </c>
      <c r="D8" s="17">
        <f>Premissas!$C$34</f>
        <v>0.12</v>
      </c>
      <c r="E8" s="20">
        <f t="shared" si="1"/>
        <v>291.6666667</v>
      </c>
      <c r="F8" s="18">
        <f t="shared" si="2"/>
        <v>85.71428571</v>
      </c>
      <c r="G8" s="23">
        <f t="shared" si="3"/>
        <v>10.28571429</v>
      </c>
      <c r="H8" s="23">
        <f>MIN(G8,Premissas!$B$29)</f>
        <v>10.28571429</v>
      </c>
      <c r="I8" s="18">
        <f>Premissas!$B$9+F8</f>
        <v>181.7142857</v>
      </c>
      <c r="J8" s="20">
        <f>H8*Premissas!$B$23</f>
        <v>11940.73469</v>
      </c>
      <c r="K8" s="20">
        <f>H8*Premissas!$B$28</f>
        <v>10268.6487</v>
      </c>
      <c r="L8" s="20">
        <f t="shared" si="4"/>
        <v>7268.648696</v>
      </c>
      <c r="M8" s="31">
        <f t="shared" si="5"/>
        <v>3.422882899</v>
      </c>
      <c r="N8" s="18">
        <f>Premissas!$B$6+H8*Premissas!$B$12</f>
        <v>248.7142857</v>
      </c>
      <c r="O8" s="22" t="str">
        <f>IF(G8&gt;Premissas!$B$29,"Passa da folga de entradas (35/mês)",IF(N8&gt;Premissas!$B$11,"Lota o teto: fechar vagas","OK"))</f>
        <v>Lota o teto: fechar vagas</v>
      </c>
      <c r="P8" s="23">
        <f>IF(H8*Premissas!$B$12&lt;Premissas!$B$11-Premissas!$B$6,"Não lota",(Premissas!$B$11-Premissas!$B$6)/H8)</f>
        <v>4.180555556</v>
      </c>
      <c r="Q8" s="20">
        <f>Premissas!$B$30*E8</f>
        <v>2090.277778</v>
      </c>
    </row>
    <row r="9">
      <c r="A9" s="11" t="str">
        <f>Premissas!$A$34</f>
        <v>Realista</v>
      </c>
      <c r="B9" s="14">
        <f>Premissas!$B$39</f>
        <v>5000</v>
      </c>
      <c r="C9" s="15">
        <f>Premissas!$B$34</f>
        <v>35</v>
      </c>
      <c r="D9" s="17">
        <f>Premissas!$C$34</f>
        <v>0.12</v>
      </c>
      <c r="E9" s="20">
        <f t="shared" si="1"/>
        <v>291.6666667</v>
      </c>
      <c r="F9" s="18">
        <f t="shared" si="2"/>
        <v>142.8571429</v>
      </c>
      <c r="G9" s="23">
        <f t="shared" si="3"/>
        <v>17.14285714</v>
      </c>
      <c r="H9" s="23">
        <f>MIN(G9,Premissas!$B$29)</f>
        <v>17.14285714</v>
      </c>
      <c r="I9" s="18">
        <f>Premissas!$B$9+F9</f>
        <v>238.8571429</v>
      </c>
      <c r="J9" s="20">
        <f>H9*Premissas!$B$23</f>
        <v>19901.22449</v>
      </c>
      <c r="K9" s="20">
        <f>H9*Premissas!$B$28</f>
        <v>17114.41449</v>
      </c>
      <c r="L9" s="20">
        <f t="shared" si="4"/>
        <v>12114.41449</v>
      </c>
      <c r="M9" s="31">
        <f t="shared" si="5"/>
        <v>3.422882899</v>
      </c>
      <c r="N9" s="18">
        <f>Premissas!$B$6+H9*Premissas!$B$12</f>
        <v>289.8571429</v>
      </c>
      <c r="O9" s="22" t="str">
        <f>IF(G9&gt;Premissas!$B$29,"Passa da folga de entradas (35/mês)",IF(N9&gt;Premissas!$B$11,"Lota o teto: fechar vagas","OK"))</f>
        <v>Lota o teto: fechar vagas</v>
      </c>
      <c r="P9" s="23">
        <f>IF(H9*Premissas!$B$12&lt;Premissas!$B$11-Premissas!$B$6,"Não lota",(Premissas!$B$11-Premissas!$B$6)/H9)</f>
        <v>2.508333333</v>
      </c>
      <c r="Q9" s="20">
        <f>Premissas!$B$30*E9</f>
        <v>2090.277778</v>
      </c>
    </row>
    <row r="10">
      <c r="A10" s="11" t="str">
        <f>Premissas!$A$34</f>
        <v>Realista</v>
      </c>
      <c r="B10" s="14">
        <f>Premissas!$B$40</f>
        <v>8000</v>
      </c>
      <c r="C10" s="15">
        <f>Premissas!$B$34</f>
        <v>35</v>
      </c>
      <c r="D10" s="17">
        <f>Premissas!$C$34</f>
        <v>0.12</v>
      </c>
      <c r="E10" s="20">
        <f t="shared" si="1"/>
        <v>291.6666667</v>
      </c>
      <c r="F10" s="18">
        <f t="shared" si="2"/>
        <v>228.5714286</v>
      </c>
      <c r="G10" s="23">
        <f t="shared" si="3"/>
        <v>27.42857143</v>
      </c>
      <c r="H10" s="23">
        <f>MIN(G10,Premissas!$B$29)</f>
        <v>19</v>
      </c>
      <c r="I10" s="18">
        <f>Premissas!$B$9+F10</f>
        <v>324.5714286</v>
      </c>
      <c r="J10" s="20">
        <f>H10*Premissas!$B$23</f>
        <v>22057.19048</v>
      </c>
      <c r="K10" s="20">
        <f>H10*Premissas!$B$28</f>
        <v>18968.47606</v>
      </c>
      <c r="L10" s="20">
        <f t="shared" si="4"/>
        <v>10968.47606</v>
      </c>
      <c r="M10" s="31">
        <f t="shared" si="5"/>
        <v>2.371059508</v>
      </c>
      <c r="N10" s="18">
        <f>Premissas!$B$6+H10*Premissas!$B$12</f>
        <v>301</v>
      </c>
      <c r="O10" s="22" t="str">
        <f>IF(G10&gt;Premissas!$B$29,"Passa da folga de entradas (35/mês)",IF(N10&gt;Premissas!$B$11,"Lota o teto: fechar vagas","OK"))</f>
        <v>Passa da folga de entradas (35/mês)</v>
      </c>
      <c r="P10" s="23">
        <f>IF(H10*Premissas!$B$12&lt;Premissas!$B$11-Premissas!$B$6,"Não lota",(Premissas!$B$11-Premissas!$B$6)/H10)</f>
        <v>2.263157895</v>
      </c>
      <c r="Q10" s="20">
        <f>Premissas!$B$30*E10</f>
        <v>2090.277778</v>
      </c>
    </row>
    <row r="11">
      <c r="A11" s="11" t="str">
        <f>Premissas!$A$35</f>
        <v>Otimista</v>
      </c>
      <c r="B11" s="14">
        <f>Premissas!$B$38</f>
        <v>3000</v>
      </c>
      <c r="C11" s="15">
        <f>Premissas!$B$35</f>
        <v>25</v>
      </c>
      <c r="D11" s="17">
        <f>Premissas!$C$35</f>
        <v>0.1666666667</v>
      </c>
      <c r="E11" s="20">
        <f t="shared" si="1"/>
        <v>150</v>
      </c>
      <c r="F11" s="18">
        <f t="shared" si="2"/>
        <v>120</v>
      </c>
      <c r="G11" s="23">
        <f t="shared" si="3"/>
        <v>20</v>
      </c>
      <c r="H11" s="23">
        <f>MIN(G11,Premissas!$B$29)</f>
        <v>19</v>
      </c>
      <c r="I11" s="18">
        <f>Premissas!$B$9+F11</f>
        <v>216</v>
      </c>
      <c r="J11" s="20">
        <f>H11*Premissas!$B$23</f>
        <v>22057.19048</v>
      </c>
      <c r="K11" s="20">
        <f>H11*Premissas!$B$28</f>
        <v>18968.47606</v>
      </c>
      <c r="L11" s="20">
        <f t="shared" si="4"/>
        <v>15968.47606</v>
      </c>
      <c r="M11" s="31">
        <f t="shared" si="5"/>
        <v>6.322825354</v>
      </c>
      <c r="N11" s="18">
        <f>Premissas!$B$6+H11*Premissas!$B$12</f>
        <v>301</v>
      </c>
      <c r="O11" s="22" t="str">
        <f>IF(G11&gt;Premissas!$B$29,"Passa da folga de entradas (35/mês)",IF(N11&gt;Premissas!$B$11,"Lota o teto: fechar vagas","OK"))</f>
        <v>Passa da folga de entradas (35/mês)</v>
      </c>
      <c r="P11" s="23">
        <f>IF(H11*Premissas!$B$12&lt;Premissas!$B$11-Premissas!$B$6,"Não lota",(Premissas!$B$11-Premissas!$B$6)/H11)</f>
        <v>2.263157895</v>
      </c>
      <c r="Q11" s="20">
        <f>Premissas!$B$30*E11</f>
        <v>1075</v>
      </c>
    </row>
    <row r="12">
      <c r="A12" s="11" t="str">
        <f>Premissas!$A$35</f>
        <v>Otimista</v>
      </c>
      <c r="B12" s="14">
        <f>Premissas!$B$39</f>
        <v>5000</v>
      </c>
      <c r="C12" s="15">
        <f>Premissas!$B$35</f>
        <v>25</v>
      </c>
      <c r="D12" s="17">
        <f>Premissas!$C$35</f>
        <v>0.1666666667</v>
      </c>
      <c r="E12" s="20">
        <f t="shared" si="1"/>
        <v>150</v>
      </c>
      <c r="F12" s="18">
        <f t="shared" si="2"/>
        <v>200</v>
      </c>
      <c r="G12" s="23">
        <f t="shared" si="3"/>
        <v>33.33333333</v>
      </c>
      <c r="H12" s="23">
        <f>MIN(G12,Premissas!$B$29)</f>
        <v>19</v>
      </c>
      <c r="I12" s="18">
        <f>Premissas!$B$9+F12</f>
        <v>296</v>
      </c>
      <c r="J12" s="20">
        <f>H12*Premissas!$B$23</f>
        <v>22057.19048</v>
      </c>
      <c r="K12" s="20">
        <f>H12*Premissas!$B$28</f>
        <v>18968.47606</v>
      </c>
      <c r="L12" s="20">
        <f t="shared" si="4"/>
        <v>13968.47606</v>
      </c>
      <c r="M12" s="31">
        <f t="shared" si="5"/>
        <v>3.793695213</v>
      </c>
      <c r="N12" s="18">
        <f>Premissas!$B$6+H12*Premissas!$B$12</f>
        <v>301</v>
      </c>
      <c r="O12" s="22" t="str">
        <f>IF(G12&gt;Premissas!$B$29,"Passa da folga de entradas (35/mês)",IF(N12&gt;Premissas!$B$11,"Lota o teto: fechar vagas","OK"))</f>
        <v>Passa da folga de entradas (35/mês)</v>
      </c>
      <c r="P12" s="23">
        <f>IF(H12*Premissas!$B$12&lt;Premissas!$B$11-Premissas!$B$6,"Não lota",(Premissas!$B$11-Premissas!$B$6)/H12)</f>
        <v>2.263157895</v>
      </c>
      <c r="Q12" s="20">
        <f>Premissas!$B$30*E12</f>
        <v>1075</v>
      </c>
    </row>
    <row r="13">
      <c r="A13" s="11" t="str">
        <f>Premissas!$A$35</f>
        <v>Otimista</v>
      </c>
      <c r="B13" s="14">
        <f>Premissas!$B$40</f>
        <v>8000</v>
      </c>
      <c r="C13" s="15">
        <f>Premissas!$B$35</f>
        <v>25</v>
      </c>
      <c r="D13" s="17">
        <f>Premissas!$C$35</f>
        <v>0.1666666667</v>
      </c>
      <c r="E13" s="20">
        <f t="shared" si="1"/>
        <v>150</v>
      </c>
      <c r="F13" s="18">
        <f t="shared" si="2"/>
        <v>320</v>
      </c>
      <c r="G13" s="23">
        <f t="shared" si="3"/>
        <v>53.33333333</v>
      </c>
      <c r="H13" s="23">
        <f>MIN(G13,Premissas!$B$29)</f>
        <v>19</v>
      </c>
      <c r="I13" s="18">
        <f>Premissas!$B$9+F13</f>
        <v>416</v>
      </c>
      <c r="J13" s="20">
        <f>H13*Premissas!$B$23</f>
        <v>22057.19048</v>
      </c>
      <c r="K13" s="20">
        <f>H13*Premissas!$B$28</f>
        <v>18968.47606</v>
      </c>
      <c r="L13" s="20">
        <f t="shared" si="4"/>
        <v>10968.47606</v>
      </c>
      <c r="M13" s="31">
        <f t="shared" si="5"/>
        <v>2.371059508</v>
      </c>
      <c r="N13" s="18">
        <f>Premissas!$B$6+H13*Premissas!$B$12</f>
        <v>301</v>
      </c>
      <c r="O13" s="22" t="str">
        <f>IF(G13&gt;Premissas!$B$29,"Passa da folga de entradas (35/mês)",IF(N13&gt;Premissas!$B$11,"Lota o teto: fechar vagas","OK"))</f>
        <v>Passa da folga de entradas (35/mês)</v>
      </c>
      <c r="P13" s="23">
        <f>IF(H13*Premissas!$B$12&lt;Premissas!$B$11-Premissas!$B$6,"Não lota",(Premissas!$B$11-Premissas!$B$6)/H13)</f>
        <v>2.263157895</v>
      </c>
      <c r="Q13" s="20">
        <f>Premissas!$B$30*E13</f>
        <v>1075</v>
      </c>
    </row>
    <row r="15">
      <c r="A15" s="2" t="s">
        <v>156</v>
      </c>
    </row>
    <row r="16">
      <c r="A16" s="2" t="s">
        <v>157</v>
      </c>
    </row>
    <row r="17">
      <c r="A17" s="2" t="s">
        <v>158</v>
      </c>
    </row>
    <row r="18">
      <c r="A18" s="2" t="s">
        <v>159</v>
      </c>
    </row>
    <row r="19">
      <c r="A19" s="2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5:O13">
    <cfRule type="cellIs" dxfId="0" priority="1" operator="notEqual">
      <formula>"OK"</formula>
    </cfRule>
  </conditionalFormatting>
  <conditionalFormatting sqref="L5:L13">
    <cfRule type="cellIs" dxfId="5" priority="2" operator="less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2.0" topLeftCell="B13" activePane="bottomRight" state="frozen"/>
      <selection activeCell="B1" sqref="B1" pane="topRight"/>
      <selection activeCell="A13" sqref="A13" pane="bottomLeft"/>
      <selection activeCell="B13" sqref="B13" pane="bottomRight"/>
    </sheetView>
  </sheetViews>
  <sheetFormatPr customHeight="1" defaultColWidth="14.43" defaultRowHeight="15.0"/>
  <cols>
    <col customWidth="1" min="1" max="1" width="62.0"/>
    <col customWidth="1" min="2" max="5" width="16.0"/>
    <col customWidth="1" min="6" max="7" width="14.0"/>
    <col customWidth="1" min="8" max="10" width="16.0"/>
    <col customWidth="1" min="11" max="11" width="14.0"/>
    <col customWidth="1" min="12" max="12" width="16.0"/>
    <col customWidth="1" min="13" max="13" width="18.0"/>
    <col customWidth="1" min="14" max="14" width="16.0"/>
    <col customWidth="1" min="15" max="15" width="26.0"/>
    <col customWidth="1" min="16" max="16" width="10.0"/>
    <col customWidth="1" min="17" max="26" width="8.71"/>
  </cols>
  <sheetData>
    <row r="1">
      <c r="A1" s="1" t="s">
        <v>0</v>
      </c>
    </row>
    <row r="2">
      <c r="A2" s="2" t="s">
        <v>3</v>
      </c>
    </row>
    <row r="3">
      <c r="A3" s="3" t="s">
        <v>5</v>
      </c>
      <c r="B3" s="7">
        <v>2.0</v>
      </c>
      <c r="C3" s="10" t="str">
        <f t="array" ref="C3">INDEX(Premissas!A33:A35,B3)</f>
        <v>Realista</v>
      </c>
    </row>
    <row r="4">
      <c r="A4" s="3" t="s">
        <v>35</v>
      </c>
      <c r="B4" s="12">
        <v>5000.0</v>
      </c>
      <c r="C4" s="2" t="s">
        <v>39</v>
      </c>
    </row>
    <row r="5">
      <c r="A5" s="3" t="s">
        <v>40</v>
      </c>
      <c r="B5" s="14">
        <f t="array" ref="B5">INDEX(Premissas!D33:D35,B3)</f>
        <v>291.6666667</v>
      </c>
    </row>
    <row r="6">
      <c r="A6" s="3" t="s">
        <v>43</v>
      </c>
      <c r="B6" s="16">
        <f>Premissas!B6</f>
        <v>187</v>
      </c>
      <c r="C6" s="16">
        <f>Premissas!B11</f>
        <v>230</v>
      </c>
    </row>
    <row r="7">
      <c r="A7" s="3" t="s">
        <v>52</v>
      </c>
      <c r="B7" s="14">
        <f>Premissas!B28</f>
        <v>998.3408454</v>
      </c>
      <c r="C7" s="16">
        <f>Premissas!B29</f>
        <v>19</v>
      </c>
    </row>
    <row r="8">
      <c r="A8" s="3" t="s">
        <v>58</v>
      </c>
      <c r="B8" s="12">
        <v>1000.0</v>
      </c>
      <c r="C8" s="2" t="s">
        <v>60</v>
      </c>
    </row>
    <row r="9">
      <c r="A9" s="3" t="s">
        <v>63</v>
      </c>
      <c r="B9" s="21">
        <v>1.0</v>
      </c>
      <c r="C9" s="26">
        <f t="array" ref="C9">INDEX(Premissas!B33:B35,B3)*B9</f>
        <v>35</v>
      </c>
      <c r="D9" s="2" t="s">
        <v>67</v>
      </c>
    </row>
    <row r="10">
      <c r="A10" s="3" t="s">
        <v>68</v>
      </c>
      <c r="B10" s="21">
        <v>0.5</v>
      </c>
      <c r="C10" s="25">
        <f t="array" ref="C10">INDEX(Premissas!C33:C35,B3)*B10</f>
        <v>0.06</v>
      </c>
      <c r="D10" s="2" t="s">
        <v>71</v>
      </c>
    </row>
    <row r="12" ht="57.75" customHeight="1">
      <c r="A12" s="4" t="s">
        <v>72</v>
      </c>
      <c r="B12" s="4" t="s">
        <v>73</v>
      </c>
      <c r="C12" s="4" t="s">
        <v>74</v>
      </c>
      <c r="D12" s="4" t="s">
        <v>75</v>
      </c>
      <c r="E12" s="4" t="s">
        <v>76</v>
      </c>
      <c r="F12" s="4" t="s">
        <v>78</v>
      </c>
      <c r="G12" s="4" t="s">
        <v>79</v>
      </c>
      <c r="H12" s="4" t="s">
        <v>80</v>
      </c>
      <c r="I12" s="4" t="s">
        <v>81</v>
      </c>
      <c r="J12" s="4" t="s">
        <v>82</v>
      </c>
      <c r="K12" s="4" t="s">
        <v>83</v>
      </c>
      <c r="L12" s="4" t="s">
        <v>84</v>
      </c>
      <c r="M12" s="4" t="s">
        <v>85</v>
      </c>
      <c r="N12" s="4" t="s">
        <v>86</v>
      </c>
      <c r="O12" s="4" t="s">
        <v>87</v>
      </c>
      <c r="P12" s="4" t="s">
        <v>88</v>
      </c>
    </row>
    <row r="13">
      <c r="A13" s="30">
        <v>1.0</v>
      </c>
      <c r="B13" s="23">
        <f>MAX(0,$C$6-($B$6+0))</f>
        <v>43</v>
      </c>
      <c r="C13" s="33">
        <v>0.0</v>
      </c>
      <c r="D13" s="23">
        <f t="shared" ref="D13:D24" si="1">IF($C$10&gt;0,MIN(C13*$C$10,B13,$C$7),0)</f>
        <v>0</v>
      </c>
      <c r="E13" s="23">
        <f t="shared" ref="E13:E24" si="2">MAX(0,MIN($B$4/$B$5,$C$7-D13))</f>
        <v>17.14285714</v>
      </c>
      <c r="F13" s="23">
        <f t="shared" ref="F13:F24" si="3">MIN(E13,B13-D13)</f>
        <v>17.14285714</v>
      </c>
      <c r="G13" s="23">
        <f t="shared" ref="G13:G24" si="4">D13+F13</f>
        <v>17.14285714</v>
      </c>
      <c r="H13" s="23">
        <f>$B$6+SUM(G13)</f>
        <v>204.1428571</v>
      </c>
      <c r="I13" s="20">
        <f t="shared" ref="I13:I24" si="5">F13*$B$5</f>
        <v>5000</v>
      </c>
      <c r="J13" s="20">
        <f t="shared" ref="J13:J24" si="6">IF(B13&lt;=0,$B$8,0)</f>
        <v>0</v>
      </c>
      <c r="K13" s="23">
        <f t="shared" ref="K13:K24" si="7">IF($C$9&gt;0,J13/$C$9,0)</f>
        <v>0</v>
      </c>
      <c r="L13" s="23">
        <f t="shared" ref="L13:L24" si="8">C13-IF($C$10&gt;0,D13/$C$10,0)+K13</f>
        <v>0</v>
      </c>
      <c r="M13" s="20">
        <f t="shared" ref="M13:M24" si="9">G13*$B$7</f>
        <v>17114.41449</v>
      </c>
      <c r="N13" s="20">
        <f t="shared" ref="N13:N24" si="10">M13-I13-J13</f>
        <v>12114.41449</v>
      </c>
      <c r="O13" s="22" t="str">
        <f t="shared" ref="O13:O24" si="11">IF(B13&lt;=0,"Vagas fechadas",IF(F13&lt;E13,"Vagas limitadas pelo teto","Aberto"))</f>
        <v>Aberto</v>
      </c>
      <c r="P13" s="18">
        <f t="shared" ref="P13:P24" si="12">IF(H13&gt;=$C$6-0.01,1,0)</f>
        <v>0</v>
      </c>
    </row>
    <row r="14">
      <c r="A14" s="30">
        <v>2.0</v>
      </c>
      <c r="B14" s="23">
        <f>MAX(0,$C$6-($B$6+SUM(G13)))</f>
        <v>25.85714286</v>
      </c>
      <c r="C14" s="23">
        <f t="shared" ref="C14:C24" si="13">L13</f>
        <v>0</v>
      </c>
      <c r="D14" s="23">
        <f t="shared" si="1"/>
        <v>0</v>
      </c>
      <c r="E14" s="23">
        <f t="shared" si="2"/>
        <v>17.14285714</v>
      </c>
      <c r="F14" s="23">
        <f t="shared" si="3"/>
        <v>17.14285714</v>
      </c>
      <c r="G14" s="23">
        <f t="shared" si="4"/>
        <v>17.14285714</v>
      </c>
      <c r="H14" s="23">
        <f>$B$6+SUM(G13:G14)</f>
        <v>221.2857143</v>
      </c>
      <c r="I14" s="20">
        <f t="shared" si="5"/>
        <v>5000</v>
      </c>
      <c r="J14" s="20">
        <f t="shared" si="6"/>
        <v>0</v>
      </c>
      <c r="K14" s="23">
        <f t="shared" si="7"/>
        <v>0</v>
      </c>
      <c r="L14" s="23">
        <f t="shared" si="8"/>
        <v>0</v>
      </c>
      <c r="M14" s="20">
        <f t="shared" si="9"/>
        <v>17114.41449</v>
      </c>
      <c r="N14" s="20">
        <f t="shared" si="10"/>
        <v>12114.41449</v>
      </c>
      <c r="O14" s="22" t="str">
        <f t="shared" si="11"/>
        <v>Aberto</v>
      </c>
      <c r="P14" s="18">
        <f t="shared" si="12"/>
        <v>0</v>
      </c>
    </row>
    <row r="15">
      <c r="A15" s="30">
        <v>3.0</v>
      </c>
      <c r="B15" s="23">
        <f>MAX(0,$C$6-($B$6+SUM(G13:G14)))</f>
        <v>8.714285714</v>
      </c>
      <c r="C15" s="23">
        <f t="shared" si="13"/>
        <v>0</v>
      </c>
      <c r="D15" s="23">
        <f t="shared" si="1"/>
        <v>0</v>
      </c>
      <c r="E15" s="23">
        <f t="shared" si="2"/>
        <v>17.14285714</v>
      </c>
      <c r="F15" s="23">
        <f t="shared" si="3"/>
        <v>8.714285714</v>
      </c>
      <c r="G15" s="23">
        <f t="shared" si="4"/>
        <v>8.714285714</v>
      </c>
      <c r="H15" s="23">
        <f>$B$6+SUM(G13:G15)</f>
        <v>230</v>
      </c>
      <c r="I15" s="20">
        <f t="shared" si="5"/>
        <v>2541.666667</v>
      </c>
      <c r="J15" s="20">
        <f t="shared" si="6"/>
        <v>0</v>
      </c>
      <c r="K15" s="23">
        <f t="shared" si="7"/>
        <v>0</v>
      </c>
      <c r="L15" s="23">
        <f t="shared" si="8"/>
        <v>0</v>
      </c>
      <c r="M15" s="20">
        <f t="shared" si="9"/>
        <v>8699.827367</v>
      </c>
      <c r="N15" s="20">
        <f t="shared" si="10"/>
        <v>6158.160701</v>
      </c>
      <c r="O15" s="22" t="str">
        <f t="shared" si="11"/>
        <v>Vagas limitadas pelo teto</v>
      </c>
      <c r="P15" s="18">
        <f t="shared" si="12"/>
        <v>1</v>
      </c>
    </row>
    <row r="16">
      <c r="A16" s="30">
        <v>4.0</v>
      </c>
      <c r="B16" s="23">
        <f>MAX(0,$C$6-($B$6+SUM(G13:G15)))</f>
        <v>0</v>
      </c>
      <c r="C16" s="23">
        <f t="shared" si="13"/>
        <v>0</v>
      </c>
      <c r="D16" s="23">
        <f t="shared" si="1"/>
        <v>0</v>
      </c>
      <c r="E16" s="23">
        <f t="shared" si="2"/>
        <v>17.14285714</v>
      </c>
      <c r="F16" s="23">
        <f t="shared" si="3"/>
        <v>0</v>
      </c>
      <c r="G16" s="23">
        <f t="shared" si="4"/>
        <v>0</v>
      </c>
      <c r="H16" s="23">
        <f>$B$6+SUM(G13:G16)</f>
        <v>230</v>
      </c>
      <c r="I16" s="20">
        <f t="shared" si="5"/>
        <v>0</v>
      </c>
      <c r="J16" s="20">
        <f t="shared" si="6"/>
        <v>1000</v>
      </c>
      <c r="K16" s="23">
        <f t="shared" si="7"/>
        <v>28.57142857</v>
      </c>
      <c r="L16" s="23">
        <f t="shared" si="8"/>
        <v>28.57142857</v>
      </c>
      <c r="M16" s="20">
        <f t="shared" si="9"/>
        <v>0</v>
      </c>
      <c r="N16" s="20">
        <f t="shared" si="10"/>
        <v>-1000</v>
      </c>
      <c r="O16" s="22" t="str">
        <f t="shared" si="11"/>
        <v>Vagas fechadas</v>
      </c>
      <c r="P16" s="18">
        <f t="shared" si="12"/>
        <v>1</v>
      </c>
    </row>
    <row r="17">
      <c r="A17" s="30">
        <v>5.0</v>
      </c>
      <c r="B17" s="23">
        <f>MAX(0,$C$6-($B$6+SUM(G13:G16)))</f>
        <v>0</v>
      </c>
      <c r="C17" s="23">
        <f t="shared" si="13"/>
        <v>28.57142857</v>
      </c>
      <c r="D17" s="23">
        <f t="shared" si="1"/>
        <v>0</v>
      </c>
      <c r="E17" s="23">
        <f t="shared" si="2"/>
        <v>17.14285714</v>
      </c>
      <c r="F17" s="23">
        <f t="shared" si="3"/>
        <v>0</v>
      </c>
      <c r="G17" s="23">
        <f t="shared" si="4"/>
        <v>0</v>
      </c>
      <c r="H17" s="23">
        <f>$B$6+SUM(G13:G17)</f>
        <v>230</v>
      </c>
      <c r="I17" s="20">
        <f t="shared" si="5"/>
        <v>0</v>
      </c>
      <c r="J17" s="20">
        <f t="shared" si="6"/>
        <v>1000</v>
      </c>
      <c r="K17" s="23">
        <f t="shared" si="7"/>
        <v>28.57142857</v>
      </c>
      <c r="L17" s="23">
        <f t="shared" si="8"/>
        <v>57.14285714</v>
      </c>
      <c r="M17" s="20">
        <f t="shared" si="9"/>
        <v>0</v>
      </c>
      <c r="N17" s="20">
        <f t="shared" si="10"/>
        <v>-1000</v>
      </c>
      <c r="O17" s="22" t="str">
        <f t="shared" si="11"/>
        <v>Vagas fechadas</v>
      </c>
      <c r="P17" s="18">
        <f t="shared" si="12"/>
        <v>1</v>
      </c>
    </row>
    <row r="18">
      <c r="A18" s="30">
        <v>6.0</v>
      </c>
      <c r="B18" s="23">
        <f t="shared" ref="B18:B24" si="14">MAX(0,$C$6-($B$6+SUM(G13:G17)))</f>
        <v>0</v>
      </c>
      <c r="C18" s="23">
        <f t="shared" si="13"/>
        <v>57.14285714</v>
      </c>
      <c r="D18" s="23">
        <f t="shared" si="1"/>
        <v>0</v>
      </c>
      <c r="E18" s="23">
        <f t="shared" si="2"/>
        <v>17.14285714</v>
      </c>
      <c r="F18" s="23">
        <f t="shared" si="3"/>
        <v>0</v>
      </c>
      <c r="G18" s="23">
        <f t="shared" si="4"/>
        <v>0</v>
      </c>
      <c r="H18" s="23">
        <f t="shared" ref="H18:H24" si="15">$B$6+SUM(G13:G18)</f>
        <v>230</v>
      </c>
      <c r="I18" s="20">
        <f t="shared" si="5"/>
        <v>0</v>
      </c>
      <c r="J18" s="20">
        <f t="shared" si="6"/>
        <v>1000</v>
      </c>
      <c r="K18" s="23">
        <f t="shared" si="7"/>
        <v>28.57142857</v>
      </c>
      <c r="L18" s="23">
        <f t="shared" si="8"/>
        <v>85.71428571</v>
      </c>
      <c r="M18" s="20">
        <f t="shared" si="9"/>
        <v>0</v>
      </c>
      <c r="N18" s="20">
        <f t="shared" si="10"/>
        <v>-1000</v>
      </c>
      <c r="O18" s="22" t="str">
        <f t="shared" si="11"/>
        <v>Vagas fechadas</v>
      </c>
      <c r="P18" s="18">
        <f t="shared" si="12"/>
        <v>1</v>
      </c>
    </row>
    <row r="19">
      <c r="A19" s="30">
        <v>7.0</v>
      </c>
      <c r="B19" s="23">
        <f t="shared" si="14"/>
        <v>17.14285714</v>
      </c>
      <c r="C19" s="23">
        <f t="shared" si="13"/>
        <v>85.71428571</v>
      </c>
      <c r="D19" s="23">
        <f t="shared" si="1"/>
        <v>5.142857143</v>
      </c>
      <c r="E19" s="23">
        <f t="shared" si="2"/>
        <v>13.85714286</v>
      </c>
      <c r="F19" s="23">
        <f t="shared" si="3"/>
        <v>12</v>
      </c>
      <c r="G19" s="23">
        <f t="shared" si="4"/>
        <v>17.14285714</v>
      </c>
      <c r="H19" s="23">
        <f t="shared" si="15"/>
        <v>230</v>
      </c>
      <c r="I19" s="20">
        <f t="shared" si="5"/>
        <v>3500</v>
      </c>
      <c r="J19" s="20">
        <f t="shared" si="6"/>
        <v>0</v>
      </c>
      <c r="K19" s="23">
        <f t="shared" si="7"/>
        <v>0</v>
      </c>
      <c r="L19" s="23">
        <f t="shared" si="8"/>
        <v>0</v>
      </c>
      <c r="M19" s="20">
        <f t="shared" si="9"/>
        <v>17114.41449</v>
      </c>
      <c r="N19" s="20">
        <f t="shared" si="10"/>
        <v>13614.41449</v>
      </c>
      <c r="O19" s="22" t="str">
        <f t="shared" si="11"/>
        <v>Vagas limitadas pelo teto</v>
      </c>
      <c r="P19" s="18">
        <f t="shared" si="12"/>
        <v>1</v>
      </c>
    </row>
    <row r="20">
      <c r="A20" s="30">
        <v>8.0</v>
      </c>
      <c r="B20" s="23">
        <f t="shared" si="14"/>
        <v>17.14285714</v>
      </c>
      <c r="C20" s="23">
        <f t="shared" si="13"/>
        <v>0</v>
      </c>
      <c r="D20" s="23">
        <f t="shared" si="1"/>
        <v>0</v>
      </c>
      <c r="E20" s="23">
        <f t="shared" si="2"/>
        <v>17.14285714</v>
      </c>
      <c r="F20" s="23">
        <f t="shared" si="3"/>
        <v>17.14285714</v>
      </c>
      <c r="G20" s="23">
        <f t="shared" si="4"/>
        <v>17.14285714</v>
      </c>
      <c r="H20" s="23">
        <f t="shared" si="15"/>
        <v>230</v>
      </c>
      <c r="I20" s="20">
        <f t="shared" si="5"/>
        <v>5000</v>
      </c>
      <c r="J20" s="20">
        <f t="shared" si="6"/>
        <v>0</v>
      </c>
      <c r="K20" s="23">
        <f t="shared" si="7"/>
        <v>0</v>
      </c>
      <c r="L20" s="23">
        <f t="shared" si="8"/>
        <v>0</v>
      </c>
      <c r="M20" s="20">
        <f t="shared" si="9"/>
        <v>17114.41449</v>
      </c>
      <c r="N20" s="20">
        <f t="shared" si="10"/>
        <v>12114.41449</v>
      </c>
      <c r="O20" s="22" t="str">
        <f t="shared" si="11"/>
        <v>Aberto</v>
      </c>
      <c r="P20" s="18">
        <f t="shared" si="12"/>
        <v>1</v>
      </c>
    </row>
    <row r="21" ht="15.75" customHeight="1">
      <c r="A21" s="30">
        <v>9.0</v>
      </c>
      <c r="B21" s="23">
        <f t="shared" si="14"/>
        <v>8.714285714</v>
      </c>
      <c r="C21" s="23">
        <f t="shared" si="13"/>
        <v>0</v>
      </c>
      <c r="D21" s="23">
        <f t="shared" si="1"/>
        <v>0</v>
      </c>
      <c r="E21" s="23">
        <f t="shared" si="2"/>
        <v>17.14285714</v>
      </c>
      <c r="F21" s="23">
        <f t="shared" si="3"/>
        <v>8.714285714</v>
      </c>
      <c r="G21" s="23">
        <f t="shared" si="4"/>
        <v>8.714285714</v>
      </c>
      <c r="H21" s="23">
        <f t="shared" si="15"/>
        <v>230</v>
      </c>
      <c r="I21" s="20">
        <f t="shared" si="5"/>
        <v>2541.666667</v>
      </c>
      <c r="J21" s="20">
        <f t="shared" si="6"/>
        <v>0</v>
      </c>
      <c r="K21" s="23">
        <f t="shared" si="7"/>
        <v>0</v>
      </c>
      <c r="L21" s="23">
        <f t="shared" si="8"/>
        <v>0</v>
      </c>
      <c r="M21" s="20">
        <f t="shared" si="9"/>
        <v>8699.827367</v>
      </c>
      <c r="N21" s="20">
        <f t="shared" si="10"/>
        <v>6158.160701</v>
      </c>
      <c r="O21" s="22" t="str">
        <f t="shared" si="11"/>
        <v>Vagas limitadas pelo teto</v>
      </c>
      <c r="P21" s="18">
        <f t="shared" si="12"/>
        <v>1</v>
      </c>
    </row>
    <row r="22" ht="15.75" customHeight="1">
      <c r="A22" s="30">
        <v>10.0</v>
      </c>
      <c r="B22" s="23">
        <f t="shared" si="14"/>
        <v>0</v>
      </c>
      <c r="C22" s="23">
        <f t="shared" si="13"/>
        <v>0</v>
      </c>
      <c r="D22" s="23">
        <f t="shared" si="1"/>
        <v>0</v>
      </c>
      <c r="E22" s="23">
        <f t="shared" si="2"/>
        <v>17.14285714</v>
      </c>
      <c r="F22" s="23">
        <f t="shared" si="3"/>
        <v>0</v>
      </c>
      <c r="G22" s="23">
        <f t="shared" si="4"/>
        <v>0</v>
      </c>
      <c r="H22" s="23">
        <f t="shared" si="15"/>
        <v>230</v>
      </c>
      <c r="I22" s="20">
        <f t="shared" si="5"/>
        <v>0</v>
      </c>
      <c r="J22" s="20">
        <f t="shared" si="6"/>
        <v>1000</v>
      </c>
      <c r="K22" s="23">
        <f t="shared" si="7"/>
        <v>28.57142857</v>
      </c>
      <c r="L22" s="23">
        <f t="shared" si="8"/>
        <v>28.57142857</v>
      </c>
      <c r="M22" s="20">
        <f t="shared" si="9"/>
        <v>0</v>
      </c>
      <c r="N22" s="20">
        <f t="shared" si="10"/>
        <v>-1000</v>
      </c>
      <c r="O22" s="22" t="str">
        <f t="shared" si="11"/>
        <v>Vagas fechadas</v>
      </c>
      <c r="P22" s="18">
        <f t="shared" si="12"/>
        <v>1</v>
      </c>
    </row>
    <row r="23" ht="15.75" customHeight="1">
      <c r="A23" s="30">
        <v>11.0</v>
      </c>
      <c r="B23" s="23">
        <f t="shared" si="14"/>
        <v>0</v>
      </c>
      <c r="C23" s="23">
        <f t="shared" si="13"/>
        <v>28.57142857</v>
      </c>
      <c r="D23" s="23">
        <f t="shared" si="1"/>
        <v>0</v>
      </c>
      <c r="E23" s="23">
        <f t="shared" si="2"/>
        <v>17.14285714</v>
      </c>
      <c r="F23" s="23">
        <f t="shared" si="3"/>
        <v>0</v>
      </c>
      <c r="G23" s="23">
        <f t="shared" si="4"/>
        <v>0</v>
      </c>
      <c r="H23" s="23">
        <f t="shared" si="15"/>
        <v>230</v>
      </c>
      <c r="I23" s="20">
        <f t="shared" si="5"/>
        <v>0</v>
      </c>
      <c r="J23" s="20">
        <f t="shared" si="6"/>
        <v>1000</v>
      </c>
      <c r="K23" s="23">
        <f t="shared" si="7"/>
        <v>28.57142857</v>
      </c>
      <c r="L23" s="23">
        <f t="shared" si="8"/>
        <v>57.14285714</v>
      </c>
      <c r="M23" s="20">
        <f t="shared" si="9"/>
        <v>0</v>
      </c>
      <c r="N23" s="20">
        <f t="shared" si="10"/>
        <v>-1000</v>
      </c>
      <c r="O23" s="22" t="str">
        <f t="shared" si="11"/>
        <v>Vagas fechadas</v>
      </c>
      <c r="P23" s="18">
        <f t="shared" si="12"/>
        <v>1</v>
      </c>
    </row>
    <row r="24" ht="15.75" customHeight="1">
      <c r="A24" s="30">
        <v>12.0</v>
      </c>
      <c r="B24" s="23">
        <f t="shared" si="14"/>
        <v>0</v>
      </c>
      <c r="C24" s="23">
        <f t="shared" si="13"/>
        <v>57.14285714</v>
      </c>
      <c r="D24" s="23">
        <f t="shared" si="1"/>
        <v>0</v>
      </c>
      <c r="E24" s="23">
        <f t="shared" si="2"/>
        <v>17.14285714</v>
      </c>
      <c r="F24" s="23">
        <f t="shared" si="3"/>
        <v>0</v>
      </c>
      <c r="G24" s="23">
        <f t="shared" si="4"/>
        <v>0</v>
      </c>
      <c r="H24" s="23">
        <f t="shared" si="15"/>
        <v>230</v>
      </c>
      <c r="I24" s="20">
        <f t="shared" si="5"/>
        <v>0</v>
      </c>
      <c r="J24" s="20">
        <f t="shared" si="6"/>
        <v>1000</v>
      </c>
      <c r="K24" s="23">
        <f t="shared" si="7"/>
        <v>28.57142857</v>
      </c>
      <c r="L24" s="23">
        <f t="shared" si="8"/>
        <v>85.71428571</v>
      </c>
      <c r="M24" s="20">
        <f t="shared" si="9"/>
        <v>0</v>
      </c>
      <c r="N24" s="20">
        <f t="shared" si="10"/>
        <v>-1000</v>
      </c>
      <c r="O24" s="22" t="str">
        <f t="shared" si="11"/>
        <v>Vagas fechadas</v>
      </c>
      <c r="P24" s="18">
        <f t="shared" si="12"/>
        <v>1</v>
      </c>
    </row>
    <row r="25" ht="15.75" customHeight="1">
      <c r="A25" s="28" t="s">
        <v>128</v>
      </c>
      <c r="B25" s="22"/>
      <c r="C25" s="22"/>
      <c r="D25" s="39">
        <f>SUM(D13:D24)</f>
        <v>5.142857143</v>
      </c>
      <c r="E25" s="22"/>
      <c r="F25" s="39">
        <f t="shared" ref="F25:G25" si="16">SUM(F13:F24)</f>
        <v>80.85714286</v>
      </c>
      <c r="G25" s="39">
        <f t="shared" si="16"/>
        <v>86</v>
      </c>
      <c r="H25" s="22"/>
      <c r="I25" s="36">
        <f t="shared" ref="I25:K25" si="17">SUM(I13:I24)</f>
        <v>23583.33333</v>
      </c>
      <c r="J25" s="36">
        <f t="shared" si="17"/>
        <v>6000</v>
      </c>
      <c r="K25" s="39">
        <f t="shared" si="17"/>
        <v>171.4285714</v>
      </c>
      <c r="L25" s="22"/>
      <c r="M25" s="36">
        <f t="shared" ref="M25:N25" si="18">SUM(M13:M24)</f>
        <v>85857.31271</v>
      </c>
      <c r="N25" s="36">
        <f t="shared" si="18"/>
        <v>56273.97937</v>
      </c>
      <c r="O25" s="22"/>
      <c r="P25" s="22"/>
    </row>
    <row r="26" ht="15.75" customHeight="1"/>
    <row r="27" ht="15.75" customHeight="1">
      <c r="A27" s="5" t="s">
        <v>131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ht="15.75" customHeight="1">
      <c r="A28" s="3" t="s">
        <v>132</v>
      </c>
      <c r="B28" s="18">
        <f>IFERROR(MATCH(1,P13:P24,0),"Não lota")</f>
        <v>3</v>
      </c>
    </row>
    <row r="29" ht="15.75" customHeight="1">
      <c r="A29" s="3" t="s">
        <v>134</v>
      </c>
      <c r="B29" s="20">
        <f>Premissas!B30*B5</f>
        <v>2090.277778</v>
      </c>
      <c r="C29" s="2" t="s">
        <v>136</v>
      </c>
    </row>
    <row r="30" ht="15.75" customHeight="1">
      <c r="A30" s="3" t="s">
        <v>137</v>
      </c>
      <c r="B30" s="20">
        <f>I25+J25</f>
        <v>29583.33333</v>
      </c>
    </row>
    <row r="31" ht="15.75" customHeight="1">
      <c r="A31" s="3" t="s">
        <v>138</v>
      </c>
      <c r="B31" s="23">
        <f>G25</f>
        <v>86</v>
      </c>
      <c r="C31" s="23">
        <f>D25</f>
        <v>5.142857143</v>
      </c>
    </row>
    <row r="32" ht="15.75" customHeight="1">
      <c r="A32" s="3" t="s">
        <v>140</v>
      </c>
      <c r="B32" s="20">
        <f>IF(G25&gt;0,(I25+J25)/G25,0)</f>
        <v>343.9922481</v>
      </c>
    </row>
    <row r="33" ht="15.75" customHeight="1">
      <c r="A33" s="3" t="s">
        <v>142</v>
      </c>
      <c r="B33" s="31">
        <f>IF(I25+J25&gt;0,M25/(I25+J25),0)</f>
        <v>2.902219021</v>
      </c>
    </row>
    <row r="34" ht="15.75" customHeight="1">
      <c r="A34" s="3" t="s">
        <v>143</v>
      </c>
      <c r="B34" s="20">
        <f>IF(C10&gt;0,C9/C10,0)</f>
        <v>583.3333333</v>
      </c>
      <c r="C34" s="2" t="s">
        <v>144</v>
      </c>
    </row>
    <row r="35" ht="15.75" customHeight="1">
      <c r="A35" s="3" t="s">
        <v>145</v>
      </c>
      <c r="B35" s="20">
        <f>B5</f>
        <v>291.6666667</v>
      </c>
    </row>
    <row r="36" ht="15.75" customHeight="1">
      <c r="A36" s="35" t="s">
        <v>146</v>
      </c>
      <c r="B36" s="35" t="str">
        <f>IF(B35=0,"Sem lista de espera",IF(B34&lt;B35,"Com estas hipóteses, a lista de espera sai mais barata por aluno do que o anúncio na reabertura","Com estas hipóteses, o anúncio na reabertura sai mais barato por aluno do que a lista de espera"))</f>
        <v>Com estas hipóteses, o anúncio na reabertura sai mais barato por aluno do que a lista de espera</v>
      </c>
    </row>
    <row r="37" ht="15.75" customHeight="1"/>
    <row r="38" ht="15.75" customHeight="1">
      <c r="A38" s="2" t="s">
        <v>147</v>
      </c>
    </row>
    <row r="39" ht="15.75" customHeight="1">
      <c r="A39" s="2" t="s">
        <v>148</v>
      </c>
    </row>
    <row r="40" ht="15.75" customHeight="1">
      <c r="A40" s="2" t="s">
        <v>149</v>
      </c>
    </row>
    <row r="41" ht="15.75" customHeight="1">
      <c r="A41" s="2" t="s">
        <v>150</v>
      </c>
    </row>
    <row r="42" ht="15.75" customHeight="1">
      <c r="A42" s="2" t="s">
        <v>151</v>
      </c>
    </row>
    <row r="43" ht="15.75" customHeight="1">
      <c r="A43" s="2" t="s">
        <v>152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13:O24">
    <cfRule type="cellIs" dxfId="0" priority="1" operator="notEqual">
      <formula>"Aberto"</formula>
    </cfRule>
  </conditionalFormatting>
  <dataValidations>
    <dataValidation type="list" allowBlank="1" sqref="B3">
      <formula1>"1,2,3"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8" width="11.0"/>
    <col customWidth="1" min="9" max="9" width="3.0"/>
    <col customWidth="1" min="10" max="15" width="11.0"/>
    <col customWidth="1" min="16" max="26" width="8.71"/>
  </cols>
  <sheetData>
    <row r="1">
      <c r="A1" s="1" t="s">
        <v>25</v>
      </c>
    </row>
    <row r="2">
      <c r="A2" s="2" t="s">
        <v>27</v>
      </c>
    </row>
    <row r="3">
      <c r="A3" s="3" t="s">
        <v>28</v>
      </c>
      <c r="B3" s="14">
        <f>Premissas!B28</f>
        <v>998.3408454</v>
      </c>
    </row>
    <row r="4">
      <c r="A4" s="3" t="s">
        <v>38</v>
      </c>
      <c r="B4" s="14">
        <f>Sensibilidade!B5</f>
        <v>499.1704227</v>
      </c>
    </row>
    <row r="5">
      <c r="A5" s="3" t="s">
        <v>41</v>
      </c>
      <c r="B5" s="16">
        <f>Premissas!B29</f>
        <v>19</v>
      </c>
    </row>
    <row r="6">
      <c r="A6" s="2" t="s">
        <v>42</v>
      </c>
    </row>
    <row r="8">
      <c r="A8" s="5" t="s">
        <v>44</v>
      </c>
      <c r="B8" s="19">
        <f>Premissas!$B$38</f>
        <v>3000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>
      <c r="C9" s="24" t="s">
        <v>61</v>
      </c>
      <c r="J9" s="24" t="s">
        <v>66</v>
      </c>
    </row>
    <row r="10">
      <c r="A10" s="4" t="s">
        <v>10</v>
      </c>
      <c r="B10" s="4" t="s">
        <v>13</v>
      </c>
      <c r="C10" s="27">
        <f>Sensibilidade!B$8</f>
        <v>0.06</v>
      </c>
      <c r="D10" s="27">
        <f>Sensibilidade!C$8</f>
        <v>0.08</v>
      </c>
      <c r="E10" s="27">
        <f>Sensibilidade!D$8</f>
        <v>0.1</v>
      </c>
      <c r="F10" s="27">
        <f>Sensibilidade!E$8</f>
        <v>0.12</v>
      </c>
      <c r="G10" s="27">
        <f>Sensibilidade!F$8</f>
        <v>0.15</v>
      </c>
      <c r="H10" s="27">
        <f>Sensibilidade!G$8</f>
        <v>0.1666666667</v>
      </c>
      <c r="J10" s="27">
        <f>Sensibilidade!B$8</f>
        <v>0.06</v>
      </c>
      <c r="K10" s="27">
        <f>Sensibilidade!C$8</f>
        <v>0.08</v>
      </c>
      <c r="L10" s="27">
        <f>Sensibilidade!D$8</f>
        <v>0.1</v>
      </c>
      <c r="M10" s="27">
        <f>Sensibilidade!E$8</f>
        <v>0.12</v>
      </c>
      <c r="N10" s="27">
        <f>Sensibilidade!F$8</f>
        <v>0.15</v>
      </c>
      <c r="O10" s="27">
        <f>Sensibilidade!G$8</f>
        <v>0.1666666667</v>
      </c>
    </row>
    <row r="11">
      <c r="A11" s="34">
        <f>Sensibilidade!$A9</f>
        <v>20</v>
      </c>
      <c r="B11" s="18">
        <f t="shared" ref="B11:B18" si="3">$B$8/A11</f>
        <v>150</v>
      </c>
      <c r="C11" s="23">
        <f t="shared" ref="C11:H11" si="1">$B11*C$10</f>
        <v>9</v>
      </c>
      <c r="D11" s="23">
        <f t="shared" si="1"/>
        <v>12</v>
      </c>
      <c r="E11" s="23">
        <f t="shared" si="1"/>
        <v>15</v>
      </c>
      <c r="F11" s="23">
        <f t="shared" si="1"/>
        <v>18</v>
      </c>
      <c r="G11" s="23">
        <f t="shared" si="1"/>
        <v>22.5</v>
      </c>
      <c r="H11" s="23">
        <f t="shared" si="1"/>
        <v>25</v>
      </c>
      <c r="J11" s="20">
        <f t="shared" ref="J11:O11" si="2">$A11/J$10</f>
        <v>333.3333333</v>
      </c>
      <c r="K11" s="20">
        <f t="shared" si="2"/>
        <v>250</v>
      </c>
      <c r="L11" s="20">
        <f t="shared" si="2"/>
        <v>200</v>
      </c>
      <c r="M11" s="20">
        <f t="shared" si="2"/>
        <v>166.6666667</v>
      </c>
      <c r="N11" s="20">
        <f t="shared" si="2"/>
        <v>133.3333333</v>
      </c>
      <c r="O11" s="20">
        <f t="shared" si="2"/>
        <v>120</v>
      </c>
    </row>
    <row r="12">
      <c r="A12" s="34">
        <f>Sensibilidade!$A10</f>
        <v>25</v>
      </c>
      <c r="B12" s="18">
        <f t="shared" si="3"/>
        <v>120</v>
      </c>
      <c r="C12" s="23">
        <f t="shared" ref="C12:H12" si="4">$B12*C$10</f>
        <v>7.2</v>
      </c>
      <c r="D12" s="23">
        <f t="shared" si="4"/>
        <v>9.6</v>
      </c>
      <c r="E12" s="23">
        <f t="shared" si="4"/>
        <v>12</v>
      </c>
      <c r="F12" s="23">
        <f t="shared" si="4"/>
        <v>14.4</v>
      </c>
      <c r="G12" s="23">
        <f t="shared" si="4"/>
        <v>18</v>
      </c>
      <c r="H12" s="23">
        <f t="shared" si="4"/>
        <v>20</v>
      </c>
      <c r="J12" s="20">
        <f t="shared" ref="J12:O12" si="5">$A12/J$10</f>
        <v>416.6666667</v>
      </c>
      <c r="K12" s="20">
        <f t="shared" si="5"/>
        <v>312.5</v>
      </c>
      <c r="L12" s="20">
        <f t="shared" si="5"/>
        <v>250</v>
      </c>
      <c r="M12" s="20">
        <f t="shared" si="5"/>
        <v>208.3333333</v>
      </c>
      <c r="N12" s="20">
        <f t="shared" si="5"/>
        <v>166.6666667</v>
      </c>
      <c r="O12" s="20">
        <f t="shared" si="5"/>
        <v>150</v>
      </c>
    </row>
    <row r="13">
      <c r="A13" s="34">
        <f>Sensibilidade!$A11</f>
        <v>30</v>
      </c>
      <c r="B13" s="18">
        <f t="shared" si="3"/>
        <v>100</v>
      </c>
      <c r="C13" s="23">
        <f t="shared" ref="C13:H13" si="6">$B13*C$10</f>
        <v>6</v>
      </c>
      <c r="D13" s="23">
        <f t="shared" si="6"/>
        <v>8</v>
      </c>
      <c r="E13" s="23">
        <f t="shared" si="6"/>
        <v>10</v>
      </c>
      <c r="F13" s="23">
        <f t="shared" si="6"/>
        <v>12</v>
      </c>
      <c r="G13" s="23">
        <f t="shared" si="6"/>
        <v>15</v>
      </c>
      <c r="H13" s="23">
        <f t="shared" si="6"/>
        <v>16.66666667</v>
      </c>
      <c r="J13" s="20">
        <f t="shared" ref="J13:O13" si="7">$A13/J$10</f>
        <v>500</v>
      </c>
      <c r="K13" s="20">
        <f t="shared" si="7"/>
        <v>375</v>
      </c>
      <c r="L13" s="20">
        <f t="shared" si="7"/>
        <v>300</v>
      </c>
      <c r="M13" s="20">
        <f t="shared" si="7"/>
        <v>250</v>
      </c>
      <c r="N13" s="20">
        <f t="shared" si="7"/>
        <v>200</v>
      </c>
      <c r="O13" s="20">
        <f t="shared" si="7"/>
        <v>180</v>
      </c>
    </row>
    <row r="14">
      <c r="A14" s="34">
        <f>Sensibilidade!$A12</f>
        <v>35</v>
      </c>
      <c r="B14" s="18">
        <f t="shared" si="3"/>
        <v>85.71428571</v>
      </c>
      <c r="C14" s="23">
        <f t="shared" ref="C14:H14" si="8">$B14*C$10</f>
        <v>5.142857143</v>
      </c>
      <c r="D14" s="23">
        <f t="shared" si="8"/>
        <v>6.857142857</v>
      </c>
      <c r="E14" s="23">
        <f t="shared" si="8"/>
        <v>8.571428571</v>
      </c>
      <c r="F14" s="23">
        <f t="shared" si="8"/>
        <v>10.28571429</v>
      </c>
      <c r="G14" s="23">
        <f t="shared" si="8"/>
        <v>12.85714286</v>
      </c>
      <c r="H14" s="23">
        <f t="shared" si="8"/>
        <v>14.28571429</v>
      </c>
      <c r="J14" s="20">
        <f t="shared" ref="J14:O14" si="9">$A14/J$10</f>
        <v>583.3333333</v>
      </c>
      <c r="K14" s="20">
        <f t="shared" si="9"/>
        <v>437.5</v>
      </c>
      <c r="L14" s="20">
        <f t="shared" si="9"/>
        <v>350</v>
      </c>
      <c r="M14" s="20">
        <f t="shared" si="9"/>
        <v>291.6666667</v>
      </c>
      <c r="N14" s="20">
        <f t="shared" si="9"/>
        <v>233.3333333</v>
      </c>
      <c r="O14" s="20">
        <f t="shared" si="9"/>
        <v>210</v>
      </c>
    </row>
    <row r="15">
      <c r="A15" s="34">
        <f>Sensibilidade!$A13</f>
        <v>40</v>
      </c>
      <c r="B15" s="18">
        <f t="shared" si="3"/>
        <v>75</v>
      </c>
      <c r="C15" s="23">
        <f t="shared" ref="C15:H15" si="10">$B15*C$10</f>
        <v>4.5</v>
      </c>
      <c r="D15" s="23">
        <f t="shared" si="10"/>
        <v>6</v>
      </c>
      <c r="E15" s="23">
        <f t="shared" si="10"/>
        <v>7.5</v>
      </c>
      <c r="F15" s="23">
        <f t="shared" si="10"/>
        <v>9</v>
      </c>
      <c r="G15" s="23">
        <f t="shared" si="10"/>
        <v>11.25</v>
      </c>
      <c r="H15" s="23">
        <f t="shared" si="10"/>
        <v>12.5</v>
      </c>
      <c r="J15" s="20">
        <f t="shared" ref="J15:O15" si="11">$A15/J$10</f>
        <v>666.6666667</v>
      </c>
      <c r="K15" s="20">
        <f t="shared" si="11"/>
        <v>500</v>
      </c>
      <c r="L15" s="20">
        <f t="shared" si="11"/>
        <v>400</v>
      </c>
      <c r="M15" s="20">
        <f t="shared" si="11"/>
        <v>333.3333333</v>
      </c>
      <c r="N15" s="20">
        <f t="shared" si="11"/>
        <v>266.6666667</v>
      </c>
      <c r="O15" s="20">
        <f t="shared" si="11"/>
        <v>240</v>
      </c>
    </row>
    <row r="16">
      <c r="A16" s="34">
        <f>Sensibilidade!$A14</f>
        <v>50</v>
      </c>
      <c r="B16" s="18">
        <f t="shared" si="3"/>
        <v>60</v>
      </c>
      <c r="C16" s="23">
        <f t="shared" ref="C16:H16" si="12">$B16*C$10</f>
        <v>3.6</v>
      </c>
      <c r="D16" s="23">
        <f t="shared" si="12"/>
        <v>4.8</v>
      </c>
      <c r="E16" s="23">
        <f t="shared" si="12"/>
        <v>6</v>
      </c>
      <c r="F16" s="23">
        <f t="shared" si="12"/>
        <v>7.2</v>
      </c>
      <c r="G16" s="23">
        <f t="shared" si="12"/>
        <v>9</v>
      </c>
      <c r="H16" s="23">
        <f t="shared" si="12"/>
        <v>10</v>
      </c>
      <c r="J16" s="20">
        <f t="shared" ref="J16:O16" si="13">$A16/J$10</f>
        <v>833.3333333</v>
      </c>
      <c r="K16" s="20">
        <f t="shared" si="13"/>
        <v>625</v>
      </c>
      <c r="L16" s="20">
        <f t="shared" si="13"/>
        <v>500</v>
      </c>
      <c r="M16" s="20">
        <f t="shared" si="13"/>
        <v>416.6666667</v>
      </c>
      <c r="N16" s="20">
        <f t="shared" si="13"/>
        <v>333.3333333</v>
      </c>
      <c r="O16" s="20">
        <f t="shared" si="13"/>
        <v>300</v>
      </c>
    </row>
    <row r="17">
      <c r="A17" s="34">
        <f>Sensibilidade!$A15</f>
        <v>60</v>
      </c>
      <c r="B17" s="18">
        <f t="shared" si="3"/>
        <v>50</v>
      </c>
      <c r="C17" s="23">
        <f t="shared" ref="C17:H17" si="14">$B17*C$10</f>
        <v>3</v>
      </c>
      <c r="D17" s="23">
        <f t="shared" si="14"/>
        <v>4</v>
      </c>
      <c r="E17" s="23">
        <f t="shared" si="14"/>
        <v>5</v>
      </c>
      <c r="F17" s="23">
        <f t="shared" si="14"/>
        <v>6</v>
      </c>
      <c r="G17" s="23">
        <f t="shared" si="14"/>
        <v>7.5</v>
      </c>
      <c r="H17" s="23">
        <f t="shared" si="14"/>
        <v>8.333333333</v>
      </c>
      <c r="J17" s="20">
        <f t="shared" ref="J17:O17" si="15">$A17/J$10</f>
        <v>1000</v>
      </c>
      <c r="K17" s="20">
        <f t="shared" si="15"/>
        <v>750</v>
      </c>
      <c r="L17" s="20">
        <f t="shared" si="15"/>
        <v>600</v>
      </c>
      <c r="M17" s="20">
        <f t="shared" si="15"/>
        <v>500</v>
      </c>
      <c r="N17" s="20">
        <f t="shared" si="15"/>
        <v>400</v>
      </c>
      <c r="O17" s="20">
        <f t="shared" si="15"/>
        <v>360</v>
      </c>
    </row>
    <row r="18">
      <c r="A18" s="34">
        <f>Sensibilidade!$A16</f>
        <v>80</v>
      </c>
      <c r="B18" s="18">
        <f t="shared" si="3"/>
        <v>37.5</v>
      </c>
      <c r="C18" s="23">
        <f t="shared" ref="C18:H18" si="16">$B18*C$10</f>
        <v>2.25</v>
      </c>
      <c r="D18" s="23">
        <f t="shared" si="16"/>
        <v>3</v>
      </c>
      <c r="E18" s="23">
        <f t="shared" si="16"/>
        <v>3.75</v>
      </c>
      <c r="F18" s="23">
        <f t="shared" si="16"/>
        <v>4.5</v>
      </c>
      <c r="G18" s="23">
        <f t="shared" si="16"/>
        <v>5.625</v>
      </c>
      <c r="H18" s="23">
        <f t="shared" si="16"/>
        <v>6.25</v>
      </c>
      <c r="J18" s="20">
        <f t="shared" ref="J18:O18" si="17">$A18/J$10</f>
        <v>1333.333333</v>
      </c>
      <c r="K18" s="20">
        <f t="shared" si="17"/>
        <v>1000</v>
      </c>
      <c r="L18" s="20">
        <f t="shared" si="17"/>
        <v>800</v>
      </c>
      <c r="M18" s="20">
        <f t="shared" si="17"/>
        <v>666.6666667</v>
      </c>
      <c r="N18" s="20">
        <f t="shared" si="17"/>
        <v>533.3333333</v>
      </c>
      <c r="O18" s="20">
        <f t="shared" si="17"/>
        <v>480</v>
      </c>
    </row>
    <row r="20">
      <c r="A20" s="5" t="s">
        <v>127</v>
      </c>
      <c r="B20" s="19">
        <f>Premissas!$B$39</f>
        <v>5000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C21" s="24" t="s">
        <v>61</v>
      </c>
      <c r="J21" s="24" t="s">
        <v>66</v>
      </c>
    </row>
    <row r="22" ht="15.75" customHeight="1">
      <c r="A22" s="4" t="s">
        <v>10</v>
      </c>
      <c r="B22" s="4" t="s">
        <v>13</v>
      </c>
      <c r="C22" s="27">
        <f>Sensibilidade!B$8</f>
        <v>0.06</v>
      </c>
      <c r="D22" s="27">
        <f>Sensibilidade!C$8</f>
        <v>0.08</v>
      </c>
      <c r="E22" s="27">
        <f>Sensibilidade!D$8</f>
        <v>0.1</v>
      </c>
      <c r="F22" s="27">
        <f>Sensibilidade!E$8</f>
        <v>0.12</v>
      </c>
      <c r="G22" s="27">
        <f>Sensibilidade!F$8</f>
        <v>0.15</v>
      </c>
      <c r="H22" s="27">
        <f>Sensibilidade!G$8</f>
        <v>0.1666666667</v>
      </c>
      <c r="J22" s="27">
        <f>Sensibilidade!B$8</f>
        <v>0.06</v>
      </c>
      <c r="K22" s="27">
        <f>Sensibilidade!C$8</f>
        <v>0.08</v>
      </c>
      <c r="L22" s="27">
        <f>Sensibilidade!D$8</f>
        <v>0.1</v>
      </c>
      <c r="M22" s="27">
        <f>Sensibilidade!E$8</f>
        <v>0.12</v>
      </c>
      <c r="N22" s="27">
        <f>Sensibilidade!F$8</f>
        <v>0.15</v>
      </c>
      <c r="O22" s="27">
        <f>Sensibilidade!G$8</f>
        <v>0.1666666667</v>
      </c>
    </row>
    <row r="23" ht="15.75" customHeight="1">
      <c r="A23" s="34">
        <f>Sensibilidade!$A9</f>
        <v>20</v>
      </c>
      <c r="B23" s="18">
        <f t="shared" ref="B23:B30" si="20">$B$20/A23</f>
        <v>250</v>
      </c>
      <c r="C23" s="23">
        <f t="shared" ref="C23:H23" si="18">$B23*C$22</f>
        <v>15</v>
      </c>
      <c r="D23" s="23">
        <f t="shared" si="18"/>
        <v>20</v>
      </c>
      <c r="E23" s="23">
        <f t="shared" si="18"/>
        <v>25</v>
      </c>
      <c r="F23" s="23">
        <f t="shared" si="18"/>
        <v>30</v>
      </c>
      <c r="G23" s="23">
        <f t="shared" si="18"/>
        <v>37.5</v>
      </c>
      <c r="H23" s="23">
        <f t="shared" si="18"/>
        <v>41.66666667</v>
      </c>
      <c r="J23" s="20">
        <f t="shared" ref="J23:O23" si="19">$A23/J$22</f>
        <v>333.3333333</v>
      </c>
      <c r="K23" s="20">
        <f t="shared" si="19"/>
        <v>250</v>
      </c>
      <c r="L23" s="20">
        <f t="shared" si="19"/>
        <v>200</v>
      </c>
      <c r="M23" s="20">
        <f t="shared" si="19"/>
        <v>166.6666667</v>
      </c>
      <c r="N23" s="20">
        <f t="shared" si="19"/>
        <v>133.3333333</v>
      </c>
      <c r="O23" s="20">
        <f t="shared" si="19"/>
        <v>120</v>
      </c>
    </row>
    <row r="24" ht="15.75" customHeight="1">
      <c r="A24" s="34">
        <f>Sensibilidade!$A10</f>
        <v>25</v>
      </c>
      <c r="B24" s="18">
        <f t="shared" si="20"/>
        <v>200</v>
      </c>
      <c r="C24" s="23">
        <f t="shared" ref="C24:H24" si="21">$B24*C$22</f>
        <v>12</v>
      </c>
      <c r="D24" s="23">
        <f t="shared" si="21"/>
        <v>16</v>
      </c>
      <c r="E24" s="23">
        <f t="shared" si="21"/>
        <v>20</v>
      </c>
      <c r="F24" s="23">
        <f t="shared" si="21"/>
        <v>24</v>
      </c>
      <c r="G24" s="23">
        <f t="shared" si="21"/>
        <v>30</v>
      </c>
      <c r="H24" s="23">
        <f t="shared" si="21"/>
        <v>33.33333333</v>
      </c>
      <c r="J24" s="20">
        <f t="shared" ref="J24:O24" si="22">$A24/J$22</f>
        <v>416.6666667</v>
      </c>
      <c r="K24" s="20">
        <f t="shared" si="22"/>
        <v>312.5</v>
      </c>
      <c r="L24" s="20">
        <f t="shared" si="22"/>
        <v>250</v>
      </c>
      <c r="M24" s="20">
        <f t="shared" si="22"/>
        <v>208.3333333</v>
      </c>
      <c r="N24" s="20">
        <f t="shared" si="22"/>
        <v>166.6666667</v>
      </c>
      <c r="O24" s="20">
        <f t="shared" si="22"/>
        <v>150</v>
      </c>
    </row>
    <row r="25" ht="15.75" customHeight="1">
      <c r="A25" s="34">
        <f>Sensibilidade!$A11</f>
        <v>30</v>
      </c>
      <c r="B25" s="18">
        <f t="shared" si="20"/>
        <v>166.6666667</v>
      </c>
      <c r="C25" s="23">
        <f t="shared" ref="C25:H25" si="23">$B25*C$22</f>
        <v>10</v>
      </c>
      <c r="D25" s="23">
        <f t="shared" si="23"/>
        <v>13.33333333</v>
      </c>
      <c r="E25" s="23">
        <f t="shared" si="23"/>
        <v>16.66666667</v>
      </c>
      <c r="F25" s="23">
        <f t="shared" si="23"/>
        <v>20</v>
      </c>
      <c r="G25" s="23">
        <f t="shared" si="23"/>
        <v>25</v>
      </c>
      <c r="H25" s="23">
        <f t="shared" si="23"/>
        <v>27.77777778</v>
      </c>
      <c r="J25" s="20">
        <f t="shared" ref="J25:O25" si="24">$A25/J$22</f>
        <v>500</v>
      </c>
      <c r="K25" s="20">
        <f t="shared" si="24"/>
        <v>375</v>
      </c>
      <c r="L25" s="20">
        <f t="shared" si="24"/>
        <v>300</v>
      </c>
      <c r="M25" s="20">
        <f t="shared" si="24"/>
        <v>250</v>
      </c>
      <c r="N25" s="20">
        <f t="shared" si="24"/>
        <v>200</v>
      </c>
      <c r="O25" s="20">
        <f t="shared" si="24"/>
        <v>180</v>
      </c>
    </row>
    <row r="26" ht="15.75" customHeight="1">
      <c r="A26" s="34">
        <f>Sensibilidade!$A12</f>
        <v>35</v>
      </c>
      <c r="B26" s="18">
        <f t="shared" si="20"/>
        <v>142.8571429</v>
      </c>
      <c r="C26" s="23">
        <f t="shared" ref="C26:H26" si="25">$B26*C$22</f>
        <v>8.571428571</v>
      </c>
      <c r="D26" s="23">
        <f t="shared" si="25"/>
        <v>11.42857143</v>
      </c>
      <c r="E26" s="23">
        <f t="shared" si="25"/>
        <v>14.28571429</v>
      </c>
      <c r="F26" s="23">
        <f t="shared" si="25"/>
        <v>17.14285714</v>
      </c>
      <c r="G26" s="23">
        <f t="shared" si="25"/>
        <v>21.42857143</v>
      </c>
      <c r="H26" s="23">
        <f t="shared" si="25"/>
        <v>23.80952381</v>
      </c>
      <c r="J26" s="20">
        <f t="shared" ref="J26:O26" si="26">$A26/J$22</f>
        <v>583.3333333</v>
      </c>
      <c r="K26" s="20">
        <f t="shared" si="26"/>
        <v>437.5</v>
      </c>
      <c r="L26" s="20">
        <f t="shared" si="26"/>
        <v>350</v>
      </c>
      <c r="M26" s="20">
        <f t="shared" si="26"/>
        <v>291.6666667</v>
      </c>
      <c r="N26" s="20">
        <f t="shared" si="26"/>
        <v>233.3333333</v>
      </c>
      <c r="O26" s="20">
        <f t="shared" si="26"/>
        <v>210</v>
      </c>
    </row>
    <row r="27" ht="15.75" customHeight="1">
      <c r="A27" s="34">
        <f>Sensibilidade!$A13</f>
        <v>40</v>
      </c>
      <c r="B27" s="18">
        <f t="shared" si="20"/>
        <v>125</v>
      </c>
      <c r="C27" s="23">
        <f t="shared" ref="C27:H27" si="27">$B27*C$22</f>
        <v>7.5</v>
      </c>
      <c r="D27" s="23">
        <f t="shared" si="27"/>
        <v>10</v>
      </c>
      <c r="E27" s="23">
        <f t="shared" si="27"/>
        <v>12.5</v>
      </c>
      <c r="F27" s="23">
        <f t="shared" si="27"/>
        <v>15</v>
      </c>
      <c r="G27" s="23">
        <f t="shared" si="27"/>
        <v>18.75</v>
      </c>
      <c r="H27" s="23">
        <f t="shared" si="27"/>
        <v>20.83333333</v>
      </c>
      <c r="J27" s="20">
        <f t="shared" ref="J27:O27" si="28">$A27/J$22</f>
        <v>666.6666667</v>
      </c>
      <c r="K27" s="20">
        <f t="shared" si="28"/>
        <v>500</v>
      </c>
      <c r="L27" s="20">
        <f t="shared" si="28"/>
        <v>400</v>
      </c>
      <c r="M27" s="20">
        <f t="shared" si="28"/>
        <v>333.3333333</v>
      </c>
      <c r="N27" s="20">
        <f t="shared" si="28"/>
        <v>266.6666667</v>
      </c>
      <c r="O27" s="20">
        <f t="shared" si="28"/>
        <v>240</v>
      </c>
    </row>
    <row r="28" ht="15.75" customHeight="1">
      <c r="A28" s="34">
        <f>Sensibilidade!$A14</f>
        <v>50</v>
      </c>
      <c r="B28" s="18">
        <f t="shared" si="20"/>
        <v>100</v>
      </c>
      <c r="C28" s="23">
        <f t="shared" ref="C28:H28" si="29">$B28*C$22</f>
        <v>6</v>
      </c>
      <c r="D28" s="23">
        <f t="shared" si="29"/>
        <v>8</v>
      </c>
      <c r="E28" s="23">
        <f t="shared" si="29"/>
        <v>10</v>
      </c>
      <c r="F28" s="23">
        <f t="shared" si="29"/>
        <v>12</v>
      </c>
      <c r="G28" s="23">
        <f t="shared" si="29"/>
        <v>15</v>
      </c>
      <c r="H28" s="23">
        <f t="shared" si="29"/>
        <v>16.66666667</v>
      </c>
      <c r="J28" s="20">
        <f t="shared" ref="J28:O28" si="30">$A28/J$22</f>
        <v>833.3333333</v>
      </c>
      <c r="K28" s="20">
        <f t="shared" si="30"/>
        <v>625</v>
      </c>
      <c r="L28" s="20">
        <f t="shared" si="30"/>
        <v>500</v>
      </c>
      <c r="M28" s="20">
        <f t="shared" si="30"/>
        <v>416.6666667</v>
      </c>
      <c r="N28" s="20">
        <f t="shared" si="30"/>
        <v>333.3333333</v>
      </c>
      <c r="O28" s="20">
        <f t="shared" si="30"/>
        <v>300</v>
      </c>
    </row>
    <row r="29" ht="15.75" customHeight="1">
      <c r="A29" s="34">
        <f>Sensibilidade!$A15</f>
        <v>60</v>
      </c>
      <c r="B29" s="18">
        <f t="shared" si="20"/>
        <v>83.33333333</v>
      </c>
      <c r="C29" s="23">
        <f t="shared" ref="C29:H29" si="31">$B29*C$22</f>
        <v>5</v>
      </c>
      <c r="D29" s="23">
        <f t="shared" si="31"/>
        <v>6.666666667</v>
      </c>
      <c r="E29" s="23">
        <f t="shared" si="31"/>
        <v>8.333333333</v>
      </c>
      <c r="F29" s="23">
        <f t="shared" si="31"/>
        <v>10</v>
      </c>
      <c r="G29" s="23">
        <f t="shared" si="31"/>
        <v>12.5</v>
      </c>
      <c r="H29" s="23">
        <f t="shared" si="31"/>
        <v>13.88888889</v>
      </c>
      <c r="J29" s="20">
        <f t="shared" ref="J29:O29" si="32">$A29/J$22</f>
        <v>1000</v>
      </c>
      <c r="K29" s="20">
        <f t="shared" si="32"/>
        <v>750</v>
      </c>
      <c r="L29" s="20">
        <f t="shared" si="32"/>
        <v>600</v>
      </c>
      <c r="M29" s="20">
        <f t="shared" si="32"/>
        <v>500</v>
      </c>
      <c r="N29" s="20">
        <f t="shared" si="32"/>
        <v>400</v>
      </c>
      <c r="O29" s="20">
        <f t="shared" si="32"/>
        <v>360</v>
      </c>
    </row>
    <row r="30" ht="15.75" customHeight="1">
      <c r="A30" s="34">
        <f>Sensibilidade!$A16</f>
        <v>80</v>
      </c>
      <c r="B30" s="18">
        <f t="shared" si="20"/>
        <v>62.5</v>
      </c>
      <c r="C30" s="23">
        <f t="shared" ref="C30:H30" si="33">$B30*C$22</f>
        <v>3.75</v>
      </c>
      <c r="D30" s="23">
        <f t="shared" si="33"/>
        <v>5</v>
      </c>
      <c r="E30" s="23">
        <f t="shared" si="33"/>
        <v>6.25</v>
      </c>
      <c r="F30" s="23">
        <f t="shared" si="33"/>
        <v>7.5</v>
      </c>
      <c r="G30" s="23">
        <f t="shared" si="33"/>
        <v>9.375</v>
      </c>
      <c r="H30" s="23">
        <f t="shared" si="33"/>
        <v>10.41666667</v>
      </c>
      <c r="J30" s="20">
        <f t="shared" ref="J30:O30" si="34">$A30/J$22</f>
        <v>1333.333333</v>
      </c>
      <c r="K30" s="20">
        <f t="shared" si="34"/>
        <v>1000</v>
      </c>
      <c r="L30" s="20">
        <f t="shared" si="34"/>
        <v>800</v>
      </c>
      <c r="M30" s="20">
        <f t="shared" si="34"/>
        <v>666.6666667</v>
      </c>
      <c r="N30" s="20">
        <f t="shared" si="34"/>
        <v>533.3333333</v>
      </c>
      <c r="O30" s="20">
        <f t="shared" si="34"/>
        <v>480</v>
      </c>
    </row>
    <row r="31" ht="15.75" customHeight="1"/>
    <row r="32" ht="15.75" customHeight="1">
      <c r="A32" s="5" t="s">
        <v>129</v>
      </c>
      <c r="B32" s="19">
        <f>Premissas!$B$40</f>
        <v>8000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ht="15.75" customHeight="1">
      <c r="C33" s="24" t="s">
        <v>61</v>
      </c>
      <c r="J33" s="24" t="s">
        <v>66</v>
      </c>
    </row>
    <row r="34" ht="15.75" customHeight="1">
      <c r="A34" s="4" t="s">
        <v>10</v>
      </c>
      <c r="B34" s="4" t="s">
        <v>13</v>
      </c>
      <c r="C34" s="27">
        <f>Sensibilidade!B$8</f>
        <v>0.06</v>
      </c>
      <c r="D34" s="27">
        <f>Sensibilidade!C$8</f>
        <v>0.08</v>
      </c>
      <c r="E34" s="27">
        <f>Sensibilidade!D$8</f>
        <v>0.1</v>
      </c>
      <c r="F34" s="27">
        <f>Sensibilidade!E$8</f>
        <v>0.12</v>
      </c>
      <c r="G34" s="27">
        <f>Sensibilidade!F$8</f>
        <v>0.15</v>
      </c>
      <c r="H34" s="27">
        <f>Sensibilidade!G$8</f>
        <v>0.1666666667</v>
      </c>
      <c r="J34" s="27">
        <f>Sensibilidade!B$8</f>
        <v>0.06</v>
      </c>
      <c r="K34" s="27">
        <f>Sensibilidade!C$8</f>
        <v>0.08</v>
      </c>
      <c r="L34" s="27">
        <f>Sensibilidade!D$8</f>
        <v>0.1</v>
      </c>
      <c r="M34" s="27">
        <f>Sensibilidade!E$8</f>
        <v>0.12</v>
      </c>
      <c r="N34" s="27">
        <f>Sensibilidade!F$8</f>
        <v>0.15</v>
      </c>
      <c r="O34" s="27">
        <f>Sensibilidade!G$8</f>
        <v>0.1666666667</v>
      </c>
    </row>
    <row r="35" ht="15.75" customHeight="1">
      <c r="A35" s="34">
        <f>Sensibilidade!$A9</f>
        <v>20</v>
      </c>
      <c r="B35" s="18">
        <f t="shared" ref="B35:B42" si="37">$B$32/A35</f>
        <v>400</v>
      </c>
      <c r="C35" s="23">
        <f t="shared" ref="C35:H35" si="35">$B35*C$34</f>
        <v>24</v>
      </c>
      <c r="D35" s="23">
        <f t="shared" si="35"/>
        <v>32</v>
      </c>
      <c r="E35" s="23">
        <f t="shared" si="35"/>
        <v>40</v>
      </c>
      <c r="F35" s="23">
        <f t="shared" si="35"/>
        <v>48</v>
      </c>
      <c r="G35" s="23">
        <f t="shared" si="35"/>
        <v>60</v>
      </c>
      <c r="H35" s="23">
        <f t="shared" si="35"/>
        <v>66.66666667</v>
      </c>
      <c r="J35" s="20">
        <f t="shared" ref="J35:O35" si="36">$A35/J$34</f>
        <v>333.3333333</v>
      </c>
      <c r="K35" s="20">
        <f t="shared" si="36"/>
        <v>250</v>
      </c>
      <c r="L35" s="20">
        <f t="shared" si="36"/>
        <v>200</v>
      </c>
      <c r="M35" s="20">
        <f t="shared" si="36"/>
        <v>166.6666667</v>
      </c>
      <c r="N35" s="20">
        <f t="shared" si="36"/>
        <v>133.3333333</v>
      </c>
      <c r="O35" s="20">
        <f t="shared" si="36"/>
        <v>120</v>
      </c>
    </row>
    <row r="36" ht="15.75" customHeight="1">
      <c r="A36" s="34">
        <f>Sensibilidade!$A10</f>
        <v>25</v>
      </c>
      <c r="B36" s="18">
        <f t="shared" si="37"/>
        <v>320</v>
      </c>
      <c r="C36" s="23">
        <f t="shared" ref="C36:H36" si="38">$B36*C$34</f>
        <v>19.2</v>
      </c>
      <c r="D36" s="23">
        <f t="shared" si="38"/>
        <v>25.6</v>
      </c>
      <c r="E36" s="23">
        <f t="shared" si="38"/>
        <v>32</v>
      </c>
      <c r="F36" s="23">
        <f t="shared" si="38"/>
        <v>38.4</v>
      </c>
      <c r="G36" s="23">
        <f t="shared" si="38"/>
        <v>48</v>
      </c>
      <c r="H36" s="23">
        <f t="shared" si="38"/>
        <v>53.33333333</v>
      </c>
      <c r="J36" s="20">
        <f t="shared" ref="J36:O36" si="39">$A36/J$34</f>
        <v>416.6666667</v>
      </c>
      <c r="K36" s="20">
        <f t="shared" si="39"/>
        <v>312.5</v>
      </c>
      <c r="L36" s="20">
        <f t="shared" si="39"/>
        <v>250</v>
      </c>
      <c r="M36" s="20">
        <f t="shared" si="39"/>
        <v>208.3333333</v>
      </c>
      <c r="N36" s="20">
        <f t="shared" si="39"/>
        <v>166.6666667</v>
      </c>
      <c r="O36" s="20">
        <f t="shared" si="39"/>
        <v>150</v>
      </c>
    </row>
    <row r="37" ht="15.75" customHeight="1">
      <c r="A37" s="34">
        <f>Sensibilidade!$A11</f>
        <v>30</v>
      </c>
      <c r="B37" s="18">
        <f t="shared" si="37"/>
        <v>266.6666667</v>
      </c>
      <c r="C37" s="23">
        <f t="shared" ref="C37:H37" si="40">$B37*C$34</f>
        <v>16</v>
      </c>
      <c r="D37" s="23">
        <f t="shared" si="40"/>
        <v>21.33333333</v>
      </c>
      <c r="E37" s="23">
        <f t="shared" si="40"/>
        <v>26.66666667</v>
      </c>
      <c r="F37" s="23">
        <f t="shared" si="40"/>
        <v>32</v>
      </c>
      <c r="G37" s="23">
        <f t="shared" si="40"/>
        <v>40</v>
      </c>
      <c r="H37" s="23">
        <f t="shared" si="40"/>
        <v>44.44444444</v>
      </c>
      <c r="J37" s="20">
        <f t="shared" ref="J37:O37" si="41">$A37/J$34</f>
        <v>500</v>
      </c>
      <c r="K37" s="20">
        <f t="shared" si="41"/>
        <v>375</v>
      </c>
      <c r="L37" s="20">
        <f t="shared" si="41"/>
        <v>300</v>
      </c>
      <c r="M37" s="20">
        <f t="shared" si="41"/>
        <v>250</v>
      </c>
      <c r="N37" s="20">
        <f t="shared" si="41"/>
        <v>200</v>
      </c>
      <c r="O37" s="20">
        <f t="shared" si="41"/>
        <v>180</v>
      </c>
    </row>
    <row r="38" ht="15.75" customHeight="1">
      <c r="A38" s="34">
        <f>Sensibilidade!$A12</f>
        <v>35</v>
      </c>
      <c r="B38" s="18">
        <f t="shared" si="37"/>
        <v>228.5714286</v>
      </c>
      <c r="C38" s="23">
        <f t="shared" ref="C38:H38" si="42">$B38*C$34</f>
        <v>13.71428571</v>
      </c>
      <c r="D38" s="23">
        <f t="shared" si="42"/>
        <v>18.28571429</v>
      </c>
      <c r="E38" s="23">
        <f t="shared" si="42"/>
        <v>22.85714286</v>
      </c>
      <c r="F38" s="23">
        <f t="shared" si="42"/>
        <v>27.42857143</v>
      </c>
      <c r="G38" s="23">
        <f t="shared" si="42"/>
        <v>34.28571429</v>
      </c>
      <c r="H38" s="23">
        <f t="shared" si="42"/>
        <v>38.0952381</v>
      </c>
      <c r="J38" s="20">
        <f t="shared" ref="J38:O38" si="43">$A38/J$34</f>
        <v>583.3333333</v>
      </c>
      <c r="K38" s="20">
        <f t="shared" si="43"/>
        <v>437.5</v>
      </c>
      <c r="L38" s="20">
        <f t="shared" si="43"/>
        <v>350</v>
      </c>
      <c r="M38" s="20">
        <f t="shared" si="43"/>
        <v>291.6666667</v>
      </c>
      <c r="N38" s="20">
        <f t="shared" si="43"/>
        <v>233.3333333</v>
      </c>
      <c r="O38" s="20">
        <f t="shared" si="43"/>
        <v>210</v>
      </c>
    </row>
    <row r="39" ht="15.75" customHeight="1">
      <c r="A39" s="34">
        <f>Sensibilidade!$A13</f>
        <v>40</v>
      </c>
      <c r="B39" s="18">
        <f t="shared" si="37"/>
        <v>200</v>
      </c>
      <c r="C39" s="23">
        <f t="shared" ref="C39:H39" si="44">$B39*C$34</f>
        <v>12</v>
      </c>
      <c r="D39" s="23">
        <f t="shared" si="44"/>
        <v>16</v>
      </c>
      <c r="E39" s="23">
        <f t="shared" si="44"/>
        <v>20</v>
      </c>
      <c r="F39" s="23">
        <f t="shared" si="44"/>
        <v>24</v>
      </c>
      <c r="G39" s="23">
        <f t="shared" si="44"/>
        <v>30</v>
      </c>
      <c r="H39" s="23">
        <f t="shared" si="44"/>
        <v>33.33333333</v>
      </c>
      <c r="J39" s="20">
        <f t="shared" ref="J39:O39" si="45">$A39/J$34</f>
        <v>666.6666667</v>
      </c>
      <c r="K39" s="20">
        <f t="shared" si="45"/>
        <v>500</v>
      </c>
      <c r="L39" s="20">
        <f t="shared" si="45"/>
        <v>400</v>
      </c>
      <c r="M39" s="20">
        <f t="shared" si="45"/>
        <v>333.3333333</v>
      </c>
      <c r="N39" s="20">
        <f t="shared" si="45"/>
        <v>266.6666667</v>
      </c>
      <c r="O39" s="20">
        <f t="shared" si="45"/>
        <v>240</v>
      </c>
    </row>
    <row r="40" ht="15.75" customHeight="1">
      <c r="A40" s="34">
        <f>Sensibilidade!$A14</f>
        <v>50</v>
      </c>
      <c r="B40" s="18">
        <f t="shared" si="37"/>
        <v>160</v>
      </c>
      <c r="C40" s="23">
        <f t="shared" ref="C40:H40" si="46">$B40*C$34</f>
        <v>9.6</v>
      </c>
      <c r="D40" s="23">
        <f t="shared" si="46"/>
        <v>12.8</v>
      </c>
      <c r="E40" s="23">
        <f t="shared" si="46"/>
        <v>16</v>
      </c>
      <c r="F40" s="23">
        <f t="shared" si="46"/>
        <v>19.2</v>
      </c>
      <c r="G40" s="23">
        <f t="shared" si="46"/>
        <v>24</v>
      </c>
      <c r="H40" s="23">
        <f t="shared" si="46"/>
        <v>26.66666667</v>
      </c>
      <c r="J40" s="20">
        <f t="shared" ref="J40:O40" si="47">$A40/J$34</f>
        <v>833.3333333</v>
      </c>
      <c r="K40" s="20">
        <f t="shared" si="47"/>
        <v>625</v>
      </c>
      <c r="L40" s="20">
        <f t="shared" si="47"/>
        <v>500</v>
      </c>
      <c r="M40" s="20">
        <f t="shared" si="47"/>
        <v>416.6666667</v>
      </c>
      <c r="N40" s="20">
        <f t="shared" si="47"/>
        <v>333.3333333</v>
      </c>
      <c r="O40" s="20">
        <f t="shared" si="47"/>
        <v>300</v>
      </c>
    </row>
    <row r="41" ht="15.75" customHeight="1">
      <c r="A41" s="34">
        <f>Sensibilidade!$A15</f>
        <v>60</v>
      </c>
      <c r="B41" s="18">
        <f t="shared" si="37"/>
        <v>133.3333333</v>
      </c>
      <c r="C41" s="23">
        <f t="shared" ref="C41:H41" si="48">$B41*C$34</f>
        <v>8</v>
      </c>
      <c r="D41" s="23">
        <f t="shared" si="48"/>
        <v>10.66666667</v>
      </c>
      <c r="E41" s="23">
        <f t="shared" si="48"/>
        <v>13.33333333</v>
      </c>
      <c r="F41" s="23">
        <f t="shared" si="48"/>
        <v>16</v>
      </c>
      <c r="G41" s="23">
        <f t="shared" si="48"/>
        <v>20</v>
      </c>
      <c r="H41" s="23">
        <f t="shared" si="48"/>
        <v>22.22222222</v>
      </c>
      <c r="J41" s="20">
        <f t="shared" ref="J41:O41" si="49">$A41/J$34</f>
        <v>1000</v>
      </c>
      <c r="K41" s="20">
        <f t="shared" si="49"/>
        <v>750</v>
      </c>
      <c r="L41" s="20">
        <f t="shared" si="49"/>
        <v>600</v>
      </c>
      <c r="M41" s="20">
        <f t="shared" si="49"/>
        <v>500</v>
      </c>
      <c r="N41" s="20">
        <f t="shared" si="49"/>
        <v>400</v>
      </c>
      <c r="O41" s="20">
        <f t="shared" si="49"/>
        <v>360</v>
      </c>
    </row>
    <row r="42" ht="15.75" customHeight="1">
      <c r="A42" s="34">
        <f>Sensibilidade!$A16</f>
        <v>80</v>
      </c>
      <c r="B42" s="18">
        <f t="shared" si="37"/>
        <v>100</v>
      </c>
      <c r="C42" s="23">
        <f t="shared" ref="C42:H42" si="50">$B42*C$34</f>
        <v>6</v>
      </c>
      <c r="D42" s="23">
        <f t="shared" si="50"/>
        <v>8</v>
      </c>
      <c r="E42" s="23">
        <f t="shared" si="50"/>
        <v>10</v>
      </c>
      <c r="F42" s="23">
        <f t="shared" si="50"/>
        <v>12</v>
      </c>
      <c r="G42" s="23">
        <f t="shared" si="50"/>
        <v>15</v>
      </c>
      <c r="H42" s="23">
        <f t="shared" si="50"/>
        <v>16.66666667</v>
      </c>
      <c r="J42" s="20">
        <f t="shared" ref="J42:O42" si="51">$A42/J$34</f>
        <v>1333.333333</v>
      </c>
      <c r="K42" s="20">
        <f t="shared" si="51"/>
        <v>1000</v>
      </c>
      <c r="L42" s="20">
        <f t="shared" si="51"/>
        <v>800</v>
      </c>
      <c r="M42" s="20">
        <f t="shared" si="51"/>
        <v>666.6666667</v>
      </c>
      <c r="N42" s="20">
        <f t="shared" si="51"/>
        <v>533.3333333</v>
      </c>
      <c r="O42" s="20">
        <f t="shared" si="51"/>
        <v>480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9:H9"/>
    <mergeCell ref="J9:O9"/>
    <mergeCell ref="C21:H21"/>
    <mergeCell ref="J21:O21"/>
    <mergeCell ref="C33:H33"/>
    <mergeCell ref="J33:O33"/>
  </mergeCells>
  <conditionalFormatting sqref="C11:H18">
    <cfRule type="cellIs" dxfId="1" priority="1" operator="greaterThan">
      <formula>$B$5</formula>
    </cfRule>
  </conditionalFormatting>
  <conditionalFormatting sqref="J11:O18">
    <cfRule type="cellIs" dxfId="2" priority="2" operator="lessThanOrEqual">
      <formula>$B$4</formula>
    </cfRule>
  </conditionalFormatting>
  <conditionalFormatting sqref="J11:O18">
    <cfRule type="cellIs" dxfId="3" priority="3" operator="lessThanOrEqual">
      <formula>$B$3</formula>
    </cfRule>
  </conditionalFormatting>
  <conditionalFormatting sqref="J11:O18">
    <cfRule type="cellIs" dxfId="4" priority="4" operator="greaterThan">
      <formula>$B$3</formula>
    </cfRule>
  </conditionalFormatting>
  <conditionalFormatting sqref="C23:H30">
    <cfRule type="cellIs" dxfId="1" priority="5" operator="greaterThan">
      <formula>$B$5</formula>
    </cfRule>
  </conditionalFormatting>
  <conditionalFormatting sqref="J23:O30">
    <cfRule type="cellIs" dxfId="2" priority="6" operator="lessThanOrEqual">
      <formula>$B$4</formula>
    </cfRule>
  </conditionalFormatting>
  <conditionalFormatting sqref="J23:O30">
    <cfRule type="cellIs" dxfId="3" priority="7" operator="lessThanOrEqual">
      <formula>$B$3</formula>
    </cfRule>
  </conditionalFormatting>
  <conditionalFormatting sqref="J23:O30">
    <cfRule type="cellIs" dxfId="4" priority="8" operator="greaterThan">
      <formula>$B$3</formula>
    </cfRule>
  </conditionalFormatting>
  <conditionalFormatting sqref="C35:H42">
    <cfRule type="cellIs" dxfId="1" priority="9" operator="greaterThan">
      <formula>$B$5</formula>
    </cfRule>
  </conditionalFormatting>
  <conditionalFormatting sqref="J35:O42">
    <cfRule type="cellIs" dxfId="2" priority="10" operator="lessThanOrEqual">
      <formula>$B$4</formula>
    </cfRule>
  </conditionalFormatting>
  <conditionalFormatting sqref="J35:O42">
    <cfRule type="cellIs" dxfId="3" priority="11" operator="lessThanOrEqual">
      <formula>$B$3</formula>
    </cfRule>
  </conditionalFormatting>
  <conditionalFormatting sqref="J35:O42">
    <cfRule type="cellIs" dxfId="4" priority="12" operator="greaterThan">
      <formula>$B$3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7" width="14.0"/>
    <col customWidth="1" min="8" max="26" width="8.71"/>
  </cols>
  <sheetData>
    <row r="1">
      <c r="A1" s="1" t="s">
        <v>130</v>
      </c>
    </row>
    <row r="3">
      <c r="A3" s="3" t="s">
        <v>28</v>
      </c>
      <c r="B3" s="14">
        <f>Premissas!B28</f>
        <v>998.3408454</v>
      </c>
    </row>
    <row r="4">
      <c r="A4" s="3" t="s">
        <v>133</v>
      </c>
      <c r="B4" s="21">
        <v>0.5</v>
      </c>
      <c r="C4" s="2" t="s">
        <v>135</v>
      </c>
    </row>
    <row r="5">
      <c r="A5" s="3" t="s">
        <v>38</v>
      </c>
      <c r="B5" s="20">
        <f>B3*B4</f>
        <v>499.1704227</v>
      </c>
    </row>
    <row r="7">
      <c r="A7" s="5" t="s">
        <v>139</v>
      </c>
      <c r="B7" s="6"/>
      <c r="C7" s="6"/>
      <c r="D7" s="6"/>
      <c r="E7" s="6"/>
      <c r="F7" s="6"/>
      <c r="G7" s="6"/>
    </row>
    <row r="8">
      <c r="A8" s="28" t="s">
        <v>141</v>
      </c>
      <c r="B8" s="40">
        <v>0.06</v>
      </c>
      <c r="C8" s="40">
        <v>0.08</v>
      </c>
      <c r="D8" s="40">
        <v>0.1</v>
      </c>
      <c r="E8" s="40">
        <v>0.12</v>
      </c>
      <c r="F8" s="40">
        <v>0.15</v>
      </c>
      <c r="G8" s="40">
        <f>1/6</f>
        <v>0.1666666667</v>
      </c>
    </row>
    <row r="9">
      <c r="A9" s="41">
        <v>20.0</v>
      </c>
      <c r="B9" s="20">
        <f t="shared" ref="B9:G9" si="1">$A9/B$8</f>
        <v>333.3333333</v>
      </c>
      <c r="C9" s="20">
        <f t="shared" si="1"/>
        <v>250</v>
      </c>
      <c r="D9" s="20">
        <f t="shared" si="1"/>
        <v>200</v>
      </c>
      <c r="E9" s="20">
        <f t="shared" si="1"/>
        <v>166.6666667</v>
      </c>
      <c r="F9" s="20">
        <f t="shared" si="1"/>
        <v>133.3333333</v>
      </c>
      <c r="G9" s="20">
        <f t="shared" si="1"/>
        <v>120</v>
      </c>
    </row>
    <row r="10">
      <c r="A10" s="41">
        <v>25.0</v>
      </c>
      <c r="B10" s="20">
        <f t="shared" ref="B10:G10" si="2">$A10/B$8</f>
        <v>416.6666667</v>
      </c>
      <c r="C10" s="20">
        <f t="shared" si="2"/>
        <v>312.5</v>
      </c>
      <c r="D10" s="20">
        <f t="shared" si="2"/>
        <v>250</v>
      </c>
      <c r="E10" s="20">
        <f t="shared" si="2"/>
        <v>208.3333333</v>
      </c>
      <c r="F10" s="20">
        <f t="shared" si="2"/>
        <v>166.6666667</v>
      </c>
      <c r="G10" s="20">
        <f t="shared" si="2"/>
        <v>150</v>
      </c>
    </row>
    <row r="11">
      <c r="A11" s="41">
        <v>30.0</v>
      </c>
      <c r="B11" s="20">
        <f t="shared" ref="B11:G11" si="3">$A11/B$8</f>
        <v>500</v>
      </c>
      <c r="C11" s="20">
        <f t="shared" si="3"/>
        <v>375</v>
      </c>
      <c r="D11" s="20">
        <f t="shared" si="3"/>
        <v>300</v>
      </c>
      <c r="E11" s="20">
        <f t="shared" si="3"/>
        <v>250</v>
      </c>
      <c r="F11" s="20">
        <f t="shared" si="3"/>
        <v>200</v>
      </c>
      <c r="G11" s="20">
        <f t="shared" si="3"/>
        <v>180</v>
      </c>
    </row>
    <row r="12">
      <c r="A12" s="41">
        <v>35.0</v>
      </c>
      <c r="B12" s="20">
        <f t="shared" ref="B12:G12" si="4">$A12/B$8</f>
        <v>583.3333333</v>
      </c>
      <c r="C12" s="20">
        <f t="shared" si="4"/>
        <v>437.5</v>
      </c>
      <c r="D12" s="20">
        <f t="shared" si="4"/>
        <v>350</v>
      </c>
      <c r="E12" s="20">
        <f t="shared" si="4"/>
        <v>291.6666667</v>
      </c>
      <c r="F12" s="20">
        <f t="shared" si="4"/>
        <v>233.3333333</v>
      </c>
      <c r="G12" s="20">
        <f t="shared" si="4"/>
        <v>210</v>
      </c>
    </row>
    <row r="13">
      <c r="A13" s="41">
        <v>40.0</v>
      </c>
      <c r="B13" s="20">
        <f t="shared" ref="B13:G13" si="5">$A13/B$8</f>
        <v>666.6666667</v>
      </c>
      <c r="C13" s="20">
        <f t="shared" si="5"/>
        <v>500</v>
      </c>
      <c r="D13" s="20">
        <f t="shared" si="5"/>
        <v>400</v>
      </c>
      <c r="E13" s="20">
        <f t="shared" si="5"/>
        <v>333.3333333</v>
      </c>
      <c r="F13" s="20">
        <f t="shared" si="5"/>
        <v>266.6666667</v>
      </c>
      <c r="G13" s="20">
        <f t="shared" si="5"/>
        <v>240</v>
      </c>
    </row>
    <row r="14">
      <c r="A14" s="41">
        <v>50.0</v>
      </c>
      <c r="B14" s="20">
        <f t="shared" ref="B14:G14" si="6">$A14/B$8</f>
        <v>833.3333333</v>
      </c>
      <c r="C14" s="20">
        <f t="shared" si="6"/>
        <v>625</v>
      </c>
      <c r="D14" s="20">
        <f t="shared" si="6"/>
        <v>500</v>
      </c>
      <c r="E14" s="20">
        <f t="shared" si="6"/>
        <v>416.6666667</v>
      </c>
      <c r="F14" s="20">
        <f t="shared" si="6"/>
        <v>333.3333333</v>
      </c>
      <c r="G14" s="20">
        <f t="shared" si="6"/>
        <v>300</v>
      </c>
    </row>
    <row r="15">
      <c r="A15" s="41">
        <v>60.0</v>
      </c>
      <c r="B15" s="20">
        <f t="shared" ref="B15:G15" si="7">$A15/B$8</f>
        <v>1000</v>
      </c>
      <c r="C15" s="20">
        <f t="shared" si="7"/>
        <v>750</v>
      </c>
      <c r="D15" s="20">
        <f t="shared" si="7"/>
        <v>600</v>
      </c>
      <c r="E15" s="20">
        <f t="shared" si="7"/>
        <v>500</v>
      </c>
      <c r="F15" s="20">
        <f t="shared" si="7"/>
        <v>400</v>
      </c>
      <c r="G15" s="20">
        <f t="shared" si="7"/>
        <v>360</v>
      </c>
    </row>
    <row r="16">
      <c r="A16" s="41">
        <v>80.0</v>
      </c>
      <c r="B16" s="20">
        <f t="shared" ref="B16:G16" si="8">$A16/B$8</f>
        <v>1333.333333</v>
      </c>
      <c r="C16" s="20">
        <f t="shared" si="8"/>
        <v>1000</v>
      </c>
      <c r="D16" s="20">
        <f t="shared" si="8"/>
        <v>800</v>
      </c>
      <c r="E16" s="20">
        <f t="shared" si="8"/>
        <v>666.6666667</v>
      </c>
      <c r="F16" s="20">
        <f t="shared" si="8"/>
        <v>533.3333333</v>
      </c>
      <c r="G16" s="20">
        <f t="shared" si="8"/>
        <v>480</v>
      </c>
    </row>
    <row r="18">
      <c r="A18" s="5" t="s">
        <v>153</v>
      </c>
      <c r="B18" s="6"/>
      <c r="C18" s="6"/>
      <c r="D18" s="6"/>
      <c r="E18" s="6"/>
      <c r="F18" s="6"/>
      <c r="G18" s="6"/>
    </row>
    <row r="19">
      <c r="A19" s="3" t="s">
        <v>154</v>
      </c>
      <c r="B19" s="14">
        <f>Premissas!B39</f>
        <v>5000</v>
      </c>
      <c r="C19" s="2" t="s">
        <v>155</v>
      </c>
    </row>
    <row r="20">
      <c r="A20" s="28" t="s">
        <v>141</v>
      </c>
      <c r="B20" s="42">
        <f t="shared" ref="B20:G20" si="9">B$8</f>
        <v>0.06</v>
      </c>
      <c r="C20" s="42">
        <f t="shared" si="9"/>
        <v>0.08</v>
      </c>
      <c r="D20" s="42">
        <f t="shared" si="9"/>
        <v>0.1</v>
      </c>
      <c r="E20" s="42">
        <f t="shared" si="9"/>
        <v>0.12</v>
      </c>
      <c r="F20" s="42">
        <f t="shared" si="9"/>
        <v>0.15</v>
      </c>
      <c r="G20" s="42">
        <f t="shared" si="9"/>
        <v>0.1666666667</v>
      </c>
    </row>
    <row r="21" ht="15.75" customHeight="1">
      <c r="A21" s="43">
        <f t="shared" ref="A21:A28" si="11">A9</f>
        <v>20</v>
      </c>
      <c r="B21" s="23">
        <f t="shared" ref="B21:G21" si="10">$B$19/$A21*B$20</f>
        <v>15</v>
      </c>
      <c r="C21" s="23">
        <f t="shared" si="10"/>
        <v>20</v>
      </c>
      <c r="D21" s="23">
        <f t="shared" si="10"/>
        <v>25</v>
      </c>
      <c r="E21" s="23">
        <f t="shared" si="10"/>
        <v>30</v>
      </c>
      <c r="F21" s="23">
        <f t="shared" si="10"/>
        <v>37.5</v>
      </c>
      <c r="G21" s="23">
        <f t="shared" si="10"/>
        <v>41.66666667</v>
      </c>
    </row>
    <row r="22" ht="15.75" customHeight="1">
      <c r="A22" s="43">
        <f t="shared" si="11"/>
        <v>25</v>
      </c>
      <c r="B22" s="23">
        <f t="shared" ref="B22:G22" si="12">$B$19/$A22*B$20</f>
        <v>12</v>
      </c>
      <c r="C22" s="23">
        <f t="shared" si="12"/>
        <v>16</v>
      </c>
      <c r="D22" s="23">
        <f t="shared" si="12"/>
        <v>20</v>
      </c>
      <c r="E22" s="23">
        <f t="shared" si="12"/>
        <v>24</v>
      </c>
      <c r="F22" s="23">
        <f t="shared" si="12"/>
        <v>30</v>
      </c>
      <c r="G22" s="23">
        <f t="shared" si="12"/>
        <v>33.33333333</v>
      </c>
    </row>
    <row r="23" ht="15.75" customHeight="1">
      <c r="A23" s="43">
        <f t="shared" si="11"/>
        <v>30</v>
      </c>
      <c r="B23" s="23">
        <f t="shared" ref="B23:G23" si="13">$B$19/$A23*B$20</f>
        <v>10</v>
      </c>
      <c r="C23" s="23">
        <f t="shared" si="13"/>
        <v>13.33333333</v>
      </c>
      <c r="D23" s="23">
        <f t="shared" si="13"/>
        <v>16.66666667</v>
      </c>
      <c r="E23" s="23">
        <f t="shared" si="13"/>
        <v>20</v>
      </c>
      <c r="F23" s="23">
        <f t="shared" si="13"/>
        <v>25</v>
      </c>
      <c r="G23" s="23">
        <f t="shared" si="13"/>
        <v>27.77777778</v>
      </c>
    </row>
    <row r="24" ht="15.75" customHeight="1">
      <c r="A24" s="43">
        <f t="shared" si="11"/>
        <v>35</v>
      </c>
      <c r="B24" s="23">
        <f t="shared" ref="B24:G24" si="14">$B$19/$A24*B$20</f>
        <v>8.571428571</v>
      </c>
      <c r="C24" s="23">
        <f t="shared" si="14"/>
        <v>11.42857143</v>
      </c>
      <c r="D24" s="23">
        <f t="shared" si="14"/>
        <v>14.28571429</v>
      </c>
      <c r="E24" s="23">
        <f t="shared" si="14"/>
        <v>17.14285714</v>
      </c>
      <c r="F24" s="23">
        <f t="shared" si="14"/>
        <v>21.42857143</v>
      </c>
      <c r="G24" s="23">
        <f t="shared" si="14"/>
        <v>23.80952381</v>
      </c>
    </row>
    <row r="25" ht="15.75" customHeight="1">
      <c r="A25" s="43">
        <f t="shared" si="11"/>
        <v>40</v>
      </c>
      <c r="B25" s="23">
        <f t="shared" ref="B25:G25" si="15">$B$19/$A25*B$20</f>
        <v>7.5</v>
      </c>
      <c r="C25" s="23">
        <f t="shared" si="15"/>
        <v>10</v>
      </c>
      <c r="D25" s="23">
        <f t="shared" si="15"/>
        <v>12.5</v>
      </c>
      <c r="E25" s="23">
        <f t="shared" si="15"/>
        <v>15</v>
      </c>
      <c r="F25" s="23">
        <f t="shared" si="15"/>
        <v>18.75</v>
      </c>
      <c r="G25" s="23">
        <f t="shared" si="15"/>
        <v>20.83333333</v>
      </c>
    </row>
    <row r="26" ht="15.75" customHeight="1">
      <c r="A26" s="43">
        <f t="shared" si="11"/>
        <v>50</v>
      </c>
      <c r="B26" s="23">
        <f t="shared" ref="B26:G26" si="16">$B$19/$A26*B$20</f>
        <v>6</v>
      </c>
      <c r="C26" s="23">
        <f t="shared" si="16"/>
        <v>8</v>
      </c>
      <c r="D26" s="23">
        <f t="shared" si="16"/>
        <v>10</v>
      </c>
      <c r="E26" s="23">
        <f t="shared" si="16"/>
        <v>12</v>
      </c>
      <c r="F26" s="23">
        <f t="shared" si="16"/>
        <v>15</v>
      </c>
      <c r="G26" s="23">
        <f t="shared" si="16"/>
        <v>16.66666667</v>
      </c>
    </row>
    <row r="27" ht="15.75" customHeight="1">
      <c r="A27" s="43">
        <f t="shared" si="11"/>
        <v>60</v>
      </c>
      <c r="B27" s="23">
        <f t="shared" ref="B27:G27" si="17">$B$19/$A27*B$20</f>
        <v>5</v>
      </c>
      <c r="C27" s="23">
        <f t="shared" si="17"/>
        <v>6.666666667</v>
      </c>
      <c r="D27" s="23">
        <f t="shared" si="17"/>
        <v>8.333333333</v>
      </c>
      <c r="E27" s="23">
        <f t="shared" si="17"/>
        <v>10</v>
      </c>
      <c r="F27" s="23">
        <f t="shared" si="17"/>
        <v>12.5</v>
      </c>
      <c r="G27" s="23">
        <f t="shared" si="17"/>
        <v>13.88888889</v>
      </c>
    </row>
    <row r="28" ht="15.75" customHeight="1">
      <c r="A28" s="43">
        <f t="shared" si="11"/>
        <v>80</v>
      </c>
      <c r="B28" s="23">
        <f t="shared" ref="B28:G28" si="18">$B$19/$A28*B$20</f>
        <v>3.75</v>
      </c>
      <c r="C28" s="23">
        <f t="shared" si="18"/>
        <v>5</v>
      </c>
      <c r="D28" s="23">
        <f t="shared" si="18"/>
        <v>6.25</v>
      </c>
      <c r="E28" s="23">
        <f t="shared" si="18"/>
        <v>7.5</v>
      </c>
      <c r="F28" s="23">
        <f t="shared" si="18"/>
        <v>9.375</v>
      </c>
      <c r="G28" s="23">
        <f t="shared" si="18"/>
        <v>10.41666667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9:G16">
    <cfRule type="cellIs" dxfId="2" priority="1" operator="lessThanOrEqual">
      <formula>$B$5</formula>
    </cfRule>
  </conditionalFormatting>
  <conditionalFormatting sqref="B9:G16">
    <cfRule type="cellIs" dxfId="3" priority="2" operator="lessThanOrEqual">
      <formula>$B$3</formula>
    </cfRule>
  </conditionalFormatting>
  <conditionalFormatting sqref="B9:G16">
    <cfRule type="cellIs" dxfId="4" priority="3" operator="greaterThan">
      <formula>$B$3</formula>
    </cfRule>
  </conditionalFormatting>
  <printOptions/>
  <pageMargins bottom="1.0" footer="0.0" header="0.0" left="0.75" right="0.75" top="1.0"/>
  <pageSetup paperSize="9" orientation="portrait"/>
  <drawing r:id="rId1"/>
</worksheet>
</file>